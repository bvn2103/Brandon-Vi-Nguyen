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Labor &amp; Cost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Summary" sheetId="5" state="visible" r:id="rId5"/>
  </sheets>
  <definedNames>
    <definedName name="Season_Weeks">Inputs!$B$4</definedName>
    <definedName name="Farmer_Hours_Available">Inputs!$B$5</definedName>
    <definedName name="Farmer_Hourly_Rate">Inputs!$B$6</definedName>
    <definedName name="Temp_Hours_Pool">Inputs!$B$7</definedName>
    <definedName name="Temp_Hourly_Rate">Inputs!$B$8</definedName>
    <definedName name="Fixed_Cost">Inputs!$B$9</definedName>
    <definedName name="Total_Bed_Cap">Inputs!$B$10</definedName>
    <definedName name="Tomato_Base_Hours_Per_Week">Inputs!$B$13</definedName>
    <definedName name="Tomato_Dim_Pct">Inputs!$D$13</definedName>
    <definedName name="Tomato_Revenue_Per_Bed">Inputs!$F$13</definedName>
    <definedName name="Tomato_Fertilizer_Per_Bed">Inputs!$H$13</definedName>
    <definedName name="Tomato_Max_Beds">Inputs!$J$13</definedName>
    <definedName name="Mesclun_Base_Hours_Per_Week">Inputs!$B$14</definedName>
    <definedName name="Mesclun_Dim_Pct">Inputs!$D$14</definedName>
    <definedName name="Mesclun_Revenue_Per_Bed">Inputs!$F$14</definedName>
    <definedName name="Mesclun_Fertilizer_Per_Bed">Inputs!$H$14</definedName>
    <definedName name="Mesclun_Max_Beds">Inputs!$J$14</definedName>
    <definedName name="Carrot_Base_Hours_Per_Week">Inputs!$B$15</definedName>
    <definedName name="Carrot_Dim_Pct">Inputs!$D$15</definedName>
    <definedName name="Carrot_Revenue_Per_Bed">Inputs!$F$15</definedName>
    <definedName name="Carrot_Fertilizer_Per_Bed">Inputs!$H$15</definedName>
    <definedName name="Carrot_Max_Beds">Inputs!$J$15</definedName>
    <definedName name="Schedule_Crop">'Labor &amp; Cost'!$A$12:$A$86</definedName>
    <definedName name="Schedule_Q">'Labor &amp; Cost'!$B$12:$B$86</definedName>
    <definedName name="Schedule_Total_Labor">'Labor &amp; Cost'!$C$12:$C$86</definedName>
    <definedName name="Schedule_Standalone_MC">'Labor &amp; Cost'!$F$12:$F$86</definedName>
    <definedName name="Tomato_First_Standalone_Crossing">'Labor &amp; Cost'!$C$5</definedName>
    <definedName name="Mesclun_First_Standalone_Crossing">'Labor &amp; Cost'!$C$6</definedName>
    <definedName name="Carrot_First_Standalone_Crossing">'Labor &amp; Cost'!$C$7</definedName>
    <definedName name="Tomato_Beds">Allocation!$B$4</definedName>
    <definedName name="Mesclun_Beds">Allocation!$B$5</definedName>
    <definedName name="Carrot_Beds">Allocation!$B$6</definedName>
    <definedName name="Total_Beds">Allocation!$B$11</definedName>
    <definedName name="Total_Labor_Hours">Allocation!$B$12</definedName>
    <definedName name="Farmer_Hours_Used">Allocation!$B$13</definedName>
    <definedName name="Temp_Hours_Used">Allocation!$B$14</definedName>
    <definedName name="Total_Labor_Dollars">Allocation!$B$15</definedName>
    <definedName name="Blended_Labor_Rate">Allocation!$B$16</definedName>
    <definedName name="Profit">Allocation!$B$18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0000"/>
    <numFmt numFmtId="166" formatCode="0.0000%"/>
    <numFmt numFmtId="167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/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left" vertical="center" wrapText="1"/>
    </xf>
    <xf numFmtId="166" fontId="3" fillId="3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7" fontId="3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0" customWidth="1" min="10" max="10"/>
    <col width="10" customWidth="1" min="11" max="11"/>
    <col width="28" customWidth="1" min="12" max="12"/>
    <col width="22" customWidth="1" min="14" max="14"/>
    <col width="18" customWidth="1" min="15" max="15"/>
  </cols>
  <sheetData>
    <row r="1">
      <c r="A1" s="1" t="inlineStr">
        <is>
          <t>Stage 2 Perfect Competition Inputs</t>
        </is>
      </c>
    </row>
    <row r="2">
      <c r="A2" t="inlineStr">
        <is>
          <t>Every workbook input is named, unit-labeled, and sourced from the case scenario.</t>
        </is>
      </c>
    </row>
    <row r="3">
      <c r="A3" s="2" t="inlineStr">
        <is>
          <t>Named input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Source / notes</t>
        </is>
      </c>
      <c r="N3" s="2" t="inlineStr">
        <is>
          <t>Published reference checks</t>
        </is>
      </c>
    </row>
    <row r="4">
      <c r="A4" s="3" t="inlineStr">
        <is>
          <t>Season_Weeks</t>
        </is>
      </c>
      <c r="B4" s="4" t="n">
        <v>36</v>
      </c>
      <c r="C4" s="3" t="inlineStr">
        <is>
          <t>weeks</t>
        </is>
      </c>
      <c r="D4" s="3" t="inlineStr">
        <is>
          <t>Case scenario</t>
        </is>
      </c>
      <c r="N4" s="5" t="inlineStr">
        <is>
          <t>Optimal mix</t>
        </is>
      </c>
      <c r="O4" s="3" t="inlineStr">
        <is>
          <t>Tomatoes 10, Mesclun 30, Carrots 20</t>
        </is>
      </c>
    </row>
    <row r="5">
      <c r="A5" s="3" t="inlineStr">
        <is>
          <t>Farmer_Hours_Available</t>
        </is>
      </c>
      <c r="B5" s="4" t="n">
        <v>720</v>
      </c>
      <c r="C5" s="3" t="inlineStr">
        <is>
          <t>hours</t>
        </is>
      </c>
      <c r="D5" s="3" t="inlineStr">
        <is>
          <t>Case scenario; consumed before temporary labor</t>
        </is>
      </c>
      <c r="N5" s="5" t="inlineStr">
        <is>
          <t>Published season profit</t>
        </is>
      </c>
      <c r="O5" s="6" t="n">
        <v>42762</v>
      </c>
    </row>
    <row r="6">
      <c r="A6" s="3" t="inlineStr">
        <is>
          <t>Farmer_Hourly_Rate</t>
        </is>
      </c>
      <c r="B6" s="6">
        <f>50000/1440</f>
        <v/>
      </c>
      <c r="C6" s="3" t="inlineStr">
        <is>
          <t>$/hour</t>
        </is>
      </c>
      <c r="D6" s="3" t="inlineStr">
        <is>
          <t>Opportunity cost from case scenario</t>
        </is>
      </c>
      <c r="N6" s="5" t="inlineStr">
        <is>
          <t>Exact script profit</t>
        </is>
      </c>
      <c r="O6" s="6" t="n">
        <v>42768.32825620536</v>
      </c>
    </row>
    <row r="7">
      <c r="A7" s="3" t="inlineStr">
        <is>
          <t>Temp_Hours_Pool</t>
        </is>
      </c>
      <c r="B7" s="4" t="n">
        <v>5760</v>
      </c>
      <c r="C7" s="3" t="inlineStr">
        <is>
          <t>hours</t>
        </is>
      </c>
      <c r="D7" s="3" t="inlineStr">
        <is>
          <t>4 workers × 1,440 hours each</t>
        </is>
      </c>
    </row>
    <row r="8">
      <c r="A8" s="3" t="inlineStr">
        <is>
          <t>Temp_Hourly_Rate</t>
        </is>
      </c>
      <c r="B8" s="6">
        <f>25000/1440</f>
        <v/>
      </c>
      <c r="C8" s="3" t="inlineStr">
        <is>
          <t>$/hour</t>
        </is>
      </c>
      <c r="D8" s="3" t="inlineStr">
        <is>
          <t>Temporary labor wage from case scenario</t>
        </is>
      </c>
    </row>
    <row r="9">
      <c r="A9" s="3" t="inlineStr">
        <is>
          <t>Fixed_Cost</t>
        </is>
      </c>
      <c r="B9" s="6" t="n">
        <v>20000</v>
      </c>
      <c r="C9" s="3" t="inlineStr">
        <is>
          <t>$</t>
        </is>
      </c>
      <c r="D9" s="3" t="inlineStr">
        <is>
          <t>Case scenario fixed cost</t>
        </is>
      </c>
    </row>
    <row r="10">
      <c r="A10" s="3" t="inlineStr">
        <is>
          <t>Total_Bed_Cap</t>
        </is>
      </c>
      <c r="B10" s="4" t="n">
        <v>64</v>
      </c>
      <c r="C10" s="3" t="inlineStr">
        <is>
          <t>beds</t>
        </is>
      </c>
      <c r="D10" s="3" t="inlineStr">
        <is>
          <t>4 plots × 16 beds</t>
        </is>
      </c>
    </row>
    <row r="12">
      <c r="A12" s="2" t="inlineStr">
        <is>
          <t>Crop</t>
        </is>
      </c>
      <c r="B12" s="2" t="inlineStr">
        <is>
          <t>Base value</t>
        </is>
      </c>
      <c r="C12" s="2" t="inlineStr">
        <is>
          <t>Base unit</t>
        </is>
      </c>
      <c r="D12" s="2" t="inlineStr">
        <is>
          <t>DIM_PCT</t>
        </is>
      </c>
      <c r="E12" s="2" t="inlineStr">
        <is>
          <t>DIM unit</t>
        </is>
      </c>
      <c r="F12" s="2" t="inlineStr">
        <is>
          <t>Revenue value</t>
        </is>
      </c>
      <c r="G12" s="2" t="inlineStr">
        <is>
          <t>Revenue unit</t>
        </is>
      </c>
      <c r="H12" s="2" t="inlineStr">
        <is>
          <t>Fertilizer value</t>
        </is>
      </c>
      <c r="I12" s="2" t="inlineStr">
        <is>
          <t>Fertilizer unit</t>
        </is>
      </c>
      <c r="J12" s="2" t="inlineStr">
        <is>
          <t>Max beds</t>
        </is>
      </c>
      <c r="K12" s="2" t="inlineStr">
        <is>
          <t>Max unit</t>
        </is>
      </c>
      <c r="L12" s="2" t="inlineStr">
        <is>
          <t>Source / notes</t>
        </is>
      </c>
    </row>
    <row r="13">
      <c r="A13" s="3" t="inlineStr">
        <is>
          <t>Tomato</t>
        </is>
      </c>
      <c r="B13" s="7" t="n">
        <v>2.5</v>
      </c>
      <c r="C13" s="3" t="inlineStr">
        <is>
          <t>hours/week/bed</t>
        </is>
      </c>
      <c r="D13" s="8" t="n">
        <v>0.1</v>
      </c>
      <c r="E13" s="3" t="inlineStr">
        <is>
          <t>decimal</t>
        </is>
      </c>
      <c r="F13" s="6" t="n">
        <v>8800</v>
      </c>
      <c r="G13" s="3" t="inlineStr">
        <is>
          <t>$/bed</t>
        </is>
      </c>
      <c r="H13" s="6" t="n">
        <v>880</v>
      </c>
      <c r="I13" s="3" t="inlineStr">
        <is>
          <t>$/bed</t>
        </is>
      </c>
      <c r="J13" s="9" t="n">
        <v>20</v>
      </c>
      <c r="K13" s="3" t="inlineStr">
        <is>
          <t>beds</t>
        </is>
      </c>
      <c r="L13" s="3" t="inlineStr">
        <is>
          <t>2.50 hours/week/bed</t>
        </is>
      </c>
    </row>
    <row r="14">
      <c r="A14" s="3" t="inlineStr">
        <is>
          <t>Mesclun</t>
        </is>
      </c>
      <c r="B14" s="7" t="n">
        <v>1.25</v>
      </c>
      <c r="C14" s="3" t="inlineStr">
        <is>
          <t>hours/week/bed</t>
        </is>
      </c>
      <c r="D14" s="8" t="n">
        <v>0.0125</v>
      </c>
      <c r="E14" s="3" t="inlineStr">
        <is>
          <t>decimal</t>
        </is>
      </c>
      <c r="F14" s="6" t="n">
        <v>2700</v>
      </c>
      <c r="G14" s="3" t="inlineStr">
        <is>
          <t>$/bed</t>
        </is>
      </c>
      <c r="H14" s="6" t="n">
        <v>880</v>
      </c>
      <c r="I14" s="3" t="inlineStr">
        <is>
          <t>$/bed</t>
        </is>
      </c>
      <c r="J14" s="9" t="n">
        <v>30</v>
      </c>
      <c r="K14" s="3" t="inlineStr">
        <is>
          <t>beds</t>
        </is>
      </c>
      <c r="L14" s="3" t="inlineStr">
        <is>
          <t>1.25 hours/week/bed</t>
        </is>
      </c>
    </row>
    <row r="15">
      <c r="A15" s="3" t="inlineStr">
        <is>
          <t>Carrot</t>
        </is>
      </c>
      <c r="B15" s="7">
        <f>5/6</f>
        <v/>
      </c>
      <c r="C15" s="3" t="inlineStr">
        <is>
          <t>hours/week/bed</t>
        </is>
      </c>
      <c r="D15" s="8" t="n">
        <v>0.025</v>
      </c>
      <c r="E15" s="3" t="inlineStr">
        <is>
          <t>decimal</t>
        </is>
      </c>
      <c r="F15" s="6" t="n">
        <v>2094</v>
      </c>
      <c r="G15" s="3" t="inlineStr">
        <is>
          <t>$/bed</t>
        </is>
      </c>
      <c r="H15" s="6" t="n">
        <v>440</v>
      </c>
      <c r="I15" s="3" t="inlineStr">
        <is>
          <t>$/bed</t>
        </is>
      </c>
      <c r="J15" s="9" t="n">
        <v>20</v>
      </c>
      <c r="K15" s="3" t="inlineStr">
        <is>
          <t>beds</t>
        </is>
      </c>
      <c r="L15" s="3" t="inlineStr">
        <is>
          <t>Exact case value 2.5/3 hours/week/bed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8" customWidth="1" min="4" max="4"/>
    <col width="20" customWidth="1" min="5" max="5"/>
    <col width="20" customWidth="1" min="6" max="6"/>
    <col width="18" customWidth="1" min="7" max="7"/>
    <col width="12" customWidth="1" min="8" max="8"/>
  </cols>
  <sheetData>
    <row r="1">
      <c r="A1" s="1" t="inlineStr">
        <is>
          <t>Labor Function, Standalone Cost Schedule, and Crossing Checks</t>
        </is>
      </c>
    </row>
    <row r="2">
      <c r="A2" t="inlineStr">
        <is>
          <t>Standalone marginal cost uses farmer hours first, then temporary labor.</t>
        </is>
      </c>
    </row>
    <row r="4">
      <c r="A4" s="2" t="inlineStr">
        <is>
          <t>Crop</t>
        </is>
      </c>
      <c r="B4" s="2" t="inlineStr">
        <is>
          <t>Net contribution/bed</t>
        </is>
      </c>
      <c r="C4" s="2" t="inlineStr">
        <is>
          <t>First q where MC &gt; contribution</t>
        </is>
      </c>
      <c r="D4" s="2" t="inlineStr">
        <is>
          <t>Last profitable bed</t>
        </is>
      </c>
    </row>
    <row r="5">
      <c r="A5" s="5" t="inlineStr">
        <is>
          <t>Tomato</t>
        </is>
      </c>
      <c r="B5" s="10">
        <f>Tomato_Revenue_Per_Bed-Tomato_Fertilizer_Per_Bed</f>
        <v/>
      </c>
      <c r="C5" s="11">
        <f>IF(COUNT(H12:H32)=0,"",SUM(H12:H32))</f>
        <v/>
      </c>
      <c r="D5" s="11">
        <f>IF(C5="","",C5-1)</f>
        <v/>
      </c>
    </row>
    <row r="6">
      <c r="A6" s="5" t="inlineStr">
        <is>
          <t>Mesclun</t>
        </is>
      </c>
      <c r="B6" s="10">
        <f>Mesclun_Revenue_Per_Bed-Mesclun_Fertilizer_Per_Bed</f>
        <v/>
      </c>
      <c r="C6" s="11">
        <f>IF(COUNT(H34:H64)=0,"",SUM(H34:H64))</f>
        <v/>
      </c>
      <c r="D6" s="11">
        <f>IF(C6="","",C6-1)</f>
        <v/>
      </c>
    </row>
    <row r="7">
      <c r="A7" s="5" t="inlineStr">
        <is>
          <t>Carrot</t>
        </is>
      </c>
      <c r="B7" s="10">
        <f>Carrot_Revenue_Per_Bed-Carrot_Fertilizer_Per_Bed</f>
        <v/>
      </c>
      <c r="C7" s="11">
        <f>IF(COUNT(H66:H86)=0,"",SUM(H66:H86))</f>
        <v/>
      </c>
      <c r="D7" s="11">
        <f>IF(C7="","",C7-1)</f>
        <v/>
      </c>
    </row>
    <row r="10">
      <c r="A10" s="2" t="inlineStr">
        <is>
          <t>Crop</t>
        </is>
      </c>
      <c r="B10" s="2" t="inlineStr">
        <is>
          <t>q beds</t>
        </is>
      </c>
      <c r="C10" s="2" t="inlineStr">
        <is>
          <t>Total labor hours</t>
        </is>
      </c>
      <c r="D10" s="2" t="inlineStr">
        <is>
          <t>Marginal labor hours</t>
        </is>
      </c>
      <c r="E10" s="2" t="inlineStr">
        <is>
          <t>Standalone labor dollars</t>
        </is>
      </c>
      <c r="F10" s="2" t="inlineStr">
        <is>
          <t>Standalone marginal cost</t>
        </is>
      </c>
      <c r="G10" s="2" t="inlineStr">
        <is>
          <t>Net contribution/bed</t>
        </is>
      </c>
      <c r="H10" s="2" t="inlineStr">
        <is>
          <t>Crossing q</t>
        </is>
      </c>
    </row>
    <row r="12">
      <c r="A12" s="12" t="inlineStr">
        <is>
          <t>Tomato</t>
        </is>
      </c>
      <c r="B12" s="11" t="n">
        <v>0</v>
      </c>
      <c r="C12" s="13">
        <f>0</f>
        <v/>
      </c>
      <c r="D12" s="13">
        <f>0</f>
        <v/>
      </c>
      <c r="E12" s="10">
        <f>0</f>
        <v/>
      </c>
      <c r="F12" s="10">
        <f>0</f>
        <v/>
      </c>
      <c r="G12" s="10">
        <f>Tomato_Revenue_Per_Bed-Tomato_Fertilizer_Per_Bed</f>
        <v/>
      </c>
      <c r="H12" s="14">
        <f>""</f>
        <v/>
      </c>
    </row>
    <row r="13">
      <c r="A13" s="12" t="inlineStr">
        <is>
          <t>Tomato</t>
        </is>
      </c>
      <c r="B13" s="11" t="n">
        <v>1</v>
      </c>
      <c r="C13" s="13">
        <f>Tomato_Base_Hours_Per_Week*Season_Weeks*B13*(1+Tomato_Dim_Pct)^B13</f>
        <v/>
      </c>
      <c r="D13" s="13">
        <f>C13-C12</f>
        <v/>
      </c>
      <c r="E13" s="10">
        <f>MIN(Farmer_Hours_Available,C13)*Farmer_Hourly_Rate+MAX(0,C13-Farmer_Hours_Available)*Temp_Hourly_Rate</f>
        <v/>
      </c>
      <c r="F13" s="10">
        <f>E13-E12</f>
        <v/>
      </c>
      <c r="G13" s="10">
        <f>Tomato_Revenue_Per_Bed-Tomato_Fertilizer_Per_Bed</f>
        <v/>
      </c>
      <c r="H13" s="14">
        <f>IF(AND(F13&gt;G13,COUNT(H12:H12)=0),B13,"")</f>
        <v/>
      </c>
    </row>
    <row r="14">
      <c r="A14" s="12" t="inlineStr">
        <is>
          <t>Tomato</t>
        </is>
      </c>
      <c r="B14" s="11" t="n">
        <v>2</v>
      </c>
      <c r="C14" s="13">
        <f>Tomato_Base_Hours_Per_Week*Season_Weeks*B14*(1+Tomato_Dim_Pct)^B14</f>
        <v/>
      </c>
      <c r="D14" s="13">
        <f>C14-C13</f>
        <v/>
      </c>
      <c r="E14" s="10">
        <f>MIN(Farmer_Hours_Available,C14)*Farmer_Hourly_Rate+MAX(0,C14-Farmer_Hours_Available)*Temp_Hourly_Rate</f>
        <v/>
      </c>
      <c r="F14" s="10">
        <f>E14-E13</f>
        <v/>
      </c>
      <c r="G14" s="10">
        <f>Tomato_Revenue_Per_Bed-Tomato_Fertilizer_Per_Bed</f>
        <v/>
      </c>
      <c r="H14" s="14">
        <f>IF(AND(F14&gt;G14,COUNT(H12:H13)=0),B14,"")</f>
        <v/>
      </c>
    </row>
    <row r="15">
      <c r="A15" s="12" t="inlineStr">
        <is>
          <t>Tomato</t>
        </is>
      </c>
      <c r="B15" s="11" t="n">
        <v>3</v>
      </c>
      <c r="C15" s="13">
        <f>Tomato_Base_Hours_Per_Week*Season_Weeks*B15*(1+Tomato_Dim_Pct)^B15</f>
        <v/>
      </c>
      <c r="D15" s="13">
        <f>C15-C14</f>
        <v/>
      </c>
      <c r="E15" s="10">
        <f>MIN(Farmer_Hours_Available,C15)*Farmer_Hourly_Rate+MAX(0,C15-Farmer_Hours_Available)*Temp_Hourly_Rate</f>
        <v/>
      </c>
      <c r="F15" s="10">
        <f>E15-E14</f>
        <v/>
      </c>
      <c r="G15" s="10">
        <f>Tomato_Revenue_Per_Bed-Tomato_Fertilizer_Per_Bed</f>
        <v/>
      </c>
      <c r="H15" s="14">
        <f>IF(AND(F15&gt;G15,COUNT(H12:H14)=0),B15,"")</f>
        <v/>
      </c>
    </row>
    <row r="16">
      <c r="A16" s="12" t="inlineStr">
        <is>
          <t>Tomato</t>
        </is>
      </c>
      <c r="B16" s="11" t="n">
        <v>4</v>
      </c>
      <c r="C16" s="13">
        <f>Tomato_Base_Hours_Per_Week*Season_Weeks*B16*(1+Tomato_Dim_Pct)^B16</f>
        <v/>
      </c>
      <c r="D16" s="13">
        <f>C16-C15</f>
        <v/>
      </c>
      <c r="E16" s="10">
        <f>MIN(Farmer_Hours_Available,C16)*Farmer_Hourly_Rate+MAX(0,C16-Farmer_Hours_Available)*Temp_Hourly_Rate</f>
        <v/>
      </c>
      <c r="F16" s="10">
        <f>E16-E15</f>
        <v/>
      </c>
      <c r="G16" s="10">
        <f>Tomato_Revenue_Per_Bed-Tomato_Fertilizer_Per_Bed</f>
        <v/>
      </c>
      <c r="H16" s="14">
        <f>IF(AND(F16&gt;G16,COUNT(H12:H15)=0),B16,"")</f>
        <v/>
      </c>
    </row>
    <row r="17">
      <c r="A17" s="12" t="inlineStr">
        <is>
          <t>Tomato</t>
        </is>
      </c>
      <c r="B17" s="11" t="n">
        <v>5</v>
      </c>
      <c r="C17" s="13">
        <f>Tomato_Base_Hours_Per_Week*Season_Weeks*B17*(1+Tomato_Dim_Pct)^B17</f>
        <v/>
      </c>
      <c r="D17" s="13">
        <f>C17-C16</f>
        <v/>
      </c>
      <c r="E17" s="10">
        <f>MIN(Farmer_Hours_Available,C17)*Farmer_Hourly_Rate+MAX(0,C17-Farmer_Hours_Available)*Temp_Hourly_Rate</f>
        <v/>
      </c>
      <c r="F17" s="10">
        <f>E17-E16</f>
        <v/>
      </c>
      <c r="G17" s="10">
        <f>Tomato_Revenue_Per_Bed-Tomato_Fertilizer_Per_Bed</f>
        <v/>
      </c>
      <c r="H17" s="14">
        <f>IF(AND(F17&gt;G17,COUNT(H12:H16)=0),B17,"")</f>
        <v/>
      </c>
    </row>
    <row r="18">
      <c r="A18" s="12" t="inlineStr">
        <is>
          <t>Tomato</t>
        </is>
      </c>
      <c r="B18" s="11" t="n">
        <v>6</v>
      </c>
      <c r="C18" s="13">
        <f>Tomato_Base_Hours_Per_Week*Season_Weeks*B18*(1+Tomato_Dim_Pct)^B18</f>
        <v/>
      </c>
      <c r="D18" s="13">
        <f>C18-C17</f>
        <v/>
      </c>
      <c r="E18" s="10">
        <f>MIN(Farmer_Hours_Available,C18)*Farmer_Hourly_Rate+MAX(0,C18-Farmer_Hours_Available)*Temp_Hourly_Rate</f>
        <v/>
      </c>
      <c r="F18" s="10">
        <f>E18-E17</f>
        <v/>
      </c>
      <c r="G18" s="10">
        <f>Tomato_Revenue_Per_Bed-Tomato_Fertilizer_Per_Bed</f>
        <v/>
      </c>
      <c r="H18" s="14">
        <f>IF(AND(F18&gt;G18,COUNT(H12:H17)=0),B18,"")</f>
        <v/>
      </c>
    </row>
    <row r="19">
      <c r="A19" s="12" t="inlineStr">
        <is>
          <t>Tomato</t>
        </is>
      </c>
      <c r="B19" s="11" t="n">
        <v>7</v>
      </c>
      <c r="C19" s="13">
        <f>Tomato_Base_Hours_Per_Week*Season_Weeks*B19*(1+Tomato_Dim_Pct)^B19</f>
        <v/>
      </c>
      <c r="D19" s="13">
        <f>C19-C18</f>
        <v/>
      </c>
      <c r="E19" s="10">
        <f>MIN(Farmer_Hours_Available,C19)*Farmer_Hourly_Rate+MAX(0,C19-Farmer_Hours_Available)*Temp_Hourly_Rate</f>
        <v/>
      </c>
      <c r="F19" s="10">
        <f>E19-E18</f>
        <v/>
      </c>
      <c r="G19" s="10">
        <f>Tomato_Revenue_Per_Bed-Tomato_Fertilizer_Per_Bed</f>
        <v/>
      </c>
      <c r="H19" s="14">
        <f>IF(AND(F19&gt;G19,COUNT(H12:H18)=0),B19,"")</f>
        <v/>
      </c>
    </row>
    <row r="20">
      <c r="A20" s="12" t="inlineStr">
        <is>
          <t>Tomato</t>
        </is>
      </c>
      <c r="B20" s="11" t="n">
        <v>8</v>
      </c>
      <c r="C20" s="13">
        <f>Tomato_Base_Hours_Per_Week*Season_Weeks*B20*(1+Tomato_Dim_Pct)^B20</f>
        <v/>
      </c>
      <c r="D20" s="13">
        <f>C20-C19</f>
        <v/>
      </c>
      <c r="E20" s="10">
        <f>MIN(Farmer_Hours_Available,C20)*Farmer_Hourly_Rate+MAX(0,C20-Farmer_Hours_Available)*Temp_Hourly_Rate</f>
        <v/>
      </c>
      <c r="F20" s="10">
        <f>E20-E19</f>
        <v/>
      </c>
      <c r="G20" s="10">
        <f>Tomato_Revenue_Per_Bed-Tomato_Fertilizer_Per_Bed</f>
        <v/>
      </c>
      <c r="H20" s="14">
        <f>IF(AND(F20&gt;G20,COUNT(H12:H19)=0),B20,"")</f>
        <v/>
      </c>
    </row>
    <row r="21">
      <c r="A21" s="12" t="inlineStr">
        <is>
          <t>Tomato</t>
        </is>
      </c>
      <c r="B21" s="11" t="n">
        <v>9</v>
      </c>
      <c r="C21" s="13">
        <f>Tomato_Base_Hours_Per_Week*Season_Weeks*B21*(1+Tomato_Dim_Pct)^B21</f>
        <v/>
      </c>
      <c r="D21" s="13">
        <f>C21-C20</f>
        <v/>
      </c>
      <c r="E21" s="10">
        <f>MIN(Farmer_Hours_Available,C21)*Farmer_Hourly_Rate+MAX(0,C21-Farmer_Hours_Available)*Temp_Hourly_Rate</f>
        <v/>
      </c>
      <c r="F21" s="10">
        <f>E21-E20</f>
        <v/>
      </c>
      <c r="G21" s="10">
        <f>Tomato_Revenue_Per_Bed-Tomato_Fertilizer_Per_Bed</f>
        <v/>
      </c>
      <c r="H21" s="14">
        <f>IF(AND(F21&gt;G21,COUNT(H12:H20)=0),B21,"")</f>
        <v/>
      </c>
    </row>
    <row r="22">
      <c r="A22" s="12" t="inlineStr">
        <is>
          <t>Tomato</t>
        </is>
      </c>
      <c r="B22" s="11" t="n">
        <v>10</v>
      </c>
      <c r="C22" s="13">
        <f>Tomato_Base_Hours_Per_Week*Season_Weeks*B22*(1+Tomato_Dim_Pct)^B22</f>
        <v/>
      </c>
      <c r="D22" s="13">
        <f>C22-C21</f>
        <v/>
      </c>
      <c r="E22" s="10">
        <f>MIN(Farmer_Hours_Available,C22)*Farmer_Hourly_Rate+MAX(0,C22-Farmer_Hours_Available)*Temp_Hourly_Rate</f>
        <v/>
      </c>
      <c r="F22" s="10">
        <f>E22-E21</f>
        <v/>
      </c>
      <c r="G22" s="10">
        <f>Tomato_Revenue_Per_Bed-Tomato_Fertilizer_Per_Bed</f>
        <v/>
      </c>
      <c r="H22" s="14">
        <f>IF(AND(F22&gt;G22,COUNT(H12:H21)=0),B22,"")</f>
        <v/>
      </c>
    </row>
    <row r="23">
      <c r="A23" s="12" t="inlineStr">
        <is>
          <t>Tomato</t>
        </is>
      </c>
      <c r="B23" s="11" t="n">
        <v>11</v>
      </c>
      <c r="C23" s="13">
        <f>Tomato_Base_Hours_Per_Week*Season_Weeks*B23*(1+Tomato_Dim_Pct)^B23</f>
        <v/>
      </c>
      <c r="D23" s="13">
        <f>C23-C22</f>
        <v/>
      </c>
      <c r="E23" s="10">
        <f>MIN(Farmer_Hours_Available,C23)*Farmer_Hourly_Rate+MAX(0,C23-Farmer_Hours_Available)*Temp_Hourly_Rate</f>
        <v/>
      </c>
      <c r="F23" s="10">
        <f>E23-E22</f>
        <v/>
      </c>
      <c r="G23" s="10">
        <f>Tomato_Revenue_Per_Bed-Tomato_Fertilizer_Per_Bed</f>
        <v/>
      </c>
      <c r="H23" s="14">
        <f>IF(AND(F23&gt;G23,COUNT(H12:H22)=0),B23,"")</f>
        <v/>
      </c>
    </row>
    <row r="24">
      <c r="A24" s="12" t="inlineStr">
        <is>
          <t>Tomato</t>
        </is>
      </c>
      <c r="B24" s="11" t="n">
        <v>12</v>
      </c>
      <c r="C24" s="13">
        <f>Tomato_Base_Hours_Per_Week*Season_Weeks*B24*(1+Tomato_Dim_Pct)^B24</f>
        <v/>
      </c>
      <c r="D24" s="13">
        <f>C24-C23</f>
        <v/>
      </c>
      <c r="E24" s="10">
        <f>MIN(Farmer_Hours_Available,C24)*Farmer_Hourly_Rate+MAX(0,C24-Farmer_Hours_Available)*Temp_Hourly_Rate</f>
        <v/>
      </c>
      <c r="F24" s="10">
        <f>E24-E23</f>
        <v/>
      </c>
      <c r="G24" s="10">
        <f>Tomato_Revenue_Per_Bed-Tomato_Fertilizer_Per_Bed</f>
        <v/>
      </c>
      <c r="H24" s="14">
        <f>IF(AND(F24&gt;G24,COUNT(H12:H23)=0),B24,"")</f>
        <v/>
      </c>
    </row>
    <row r="25">
      <c r="A25" s="12" t="inlineStr">
        <is>
          <t>Tomato</t>
        </is>
      </c>
      <c r="B25" s="11" t="n">
        <v>13</v>
      </c>
      <c r="C25" s="13">
        <f>Tomato_Base_Hours_Per_Week*Season_Weeks*B25*(1+Tomato_Dim_Pct)^B25</f>
        <v/>
      </c>
      <c r="D25" s="13">
        <f>C25-C24</f>
        <v/>
      </c>
      <c r="E25" s="10">
        <f>MIN(Farmer_Hours_Available,C25)*Farmer_Hourly_Rate+MAX(0,C25-Farmer_Hours_Available)*Temp_Hourly_Rate</f>
        <v/>
      </c>
      <c r="F25" s="10">
        <f>E25-E24</f>
        <v/>
      </c>
      <c r="G25" s="10">
        <f>Tomato_Revenue_Per_Bed-Tomato_Fertilizer_Per_Bed</f>
        <v/>
      </c>
      <c r="H25" s="14">
        <f>IF(AND(F25&gt;G25,COUNT(H12:H24)=0),B25,"")</f>
        <v/>
      </c>
    </row>
    <row r="26">
      <c r="A26" s="12" t="inlineStr">
        <is>
          <t>Tomato</t>
        </is>
      </c>
      <c r="B26" s="11" t="n">
        <v>14</v>
      </c>
      <c r="C26" s="13">
        <f>Tomato_Base_Hours_Per_Week*Season_Weeks*B26*(1+Tomato_Dim_Pct)^B26</f>
        <v/>
      </c>
      <c r="D26" s="13">
        <f>C26-C25</f>
        <v/>
      </c>
      <c r="E26" s="10">
        <f>MIN(Farmer_Hours_Available,C26)*Farmer_Hourly_Rate+MAX(0,C26-Farmer_Hours_Available)*Temp_Hourly_Rate</f>
        <v/>
      </c>
      <c r="F26" s="10">
        <f>E26-E25</f>
        <v/>
      </c>
      <c r="G26" s="10">
        <f>Tomato_Revenue_Per_Bed-Tomato_Fertilizer_Per_Bed</f>
        <v/>
      </c>
      <c r="H26" s="14">
        <f>IF(AND(F26&gt;G26,COUNT(H12:H25)=0),B26,"")</f>
        <v/>
      </c>
    </row>
    <row r="27">
      <c r="A27" s="12" t="inlineStr">
        <is>
          <t>Tomato</t>
        </is>
      </c>
      <c r="B27" s="11" t="n">
        <v>15</v>
      </c>
      <c r="C27" s="13">
        <f>Tomato_Base_Hours_Per_Week*Season_Weeks*B27*(1+Tomato_Dim_Pct)^B27</f>
        <v/>
      </c>
      <c r="D27" s="13">
        <f>C27-C26</f>
        <v/>
      </c>
      <c r="E27" s="10">
        <f>MIN(Farmer_Hours_Available,C27)*Farmer_Hourly_Rate+MAX(0,C27-Farmer_Hours_Available)*Temp_Hourly_Rate</f>
        <v/>
      </c>
      <c r="F27" s="10">
        <f>E27-E26</f>
        <v/>
      </c>
      <c r="G27" s="10">
        <f>Tomato_Revenue_Per_Bed-Tomato_Fertilizer_Per_Bed</f>
        <v/>
      </c>
      <c r="H27" s="14">
        <f>IF(AND(F27&gt;G27,COUNT(H12:H26)=0),B27,"")</f>
        <v/>
      </c>
    </row>
    <row r="28">
      <c r="A28" s="12" t="inlineStr">
        <is>
          <t>Tomato</t>
        </is>
      </c>
      <c r="B28" s="11" t="n">
        <v>16</v>
      </c>
      <c r="C28" s="13">
        <f>Tomato_Base_Hours_Per_Week*Season_Weeks*B28*(1+Tomato_Dim_Pct)^B28</f>
        <v/>
      </c>
      <c r="D28" s="13">
        <f>C28-C27</f>
        <v/>
      </c>
      <c r="E28" s="10">
        <f>MIN(Farmer_Hours_Available,C28)*Farmer_Hourly_Rate+MAX(0,C28-Farmer_Hours_Available)*Temp_Hourly_Rate</f>
        <v/>
      </c>
      <c r="F28" s="10">
        <f>E28-E27</f>
        <v/>
      </c>
      <c r="G28" s="10">
        <f>Tomato_Revenue_Per_Bed-Tomato_Fertilizer_Per_Bed</f>
        <v/>
      </c>
      <c r="H28" s="14">
        <f>IF(AND(F28&gt;G28,COUNT(H12:H27)=0),B28,"")</f>
        <v/>
      </c>
    </row>
    <row r="29">
      <c r="A29" s="12" t="inlineStr">
        <is>
          <t>Tomato</t>
        </is>
      </c>
      <c r="B29" s="11" t="n">
        <v>17</v>
      </c>
      <c r="C29" s="13">
        <f>Tomato_Base_Hours_Per_Week*Season_Weeks*B29*(1+Tomato_Dim_Pct)^B29</f>
        <v/>
      </c>
      <c r="D29" s="13">
        <f>C29-C28</f>
        <v/>
      </c>
      <c r="E29" s="10">
        <f>MIN(Farmer_Hours_Available,C29)*Farmer_Hourly_Rate+MAX(0,C29-Farmer_Hours_Available)*Temp_Hourly_Rate</f>
        <v/>
      </c>
      <c r="F29" s="10">
        <f>E29-E28</f>
        <v/>
      </c>
      <c r="G29" s="10">
        <f>Tomato_Revenue_Per_Bed-Tomato_Fertilizer_Per_Bed</f>
        <v/>
      </c>
      <c r="H29" s="14">
        <f>IF(AND(F29&gt;G29,COUNT(H12:H28)=0),B29,"")</f>
        <v/>
      </c>
    </row>
    <row r="30">
      <c r="A30" s="12" t="inlineStr">
        <is>
          <t>Tomato</t>
        </is>
      </c>
      <c r="B30" s="11" t="n">
        <v>18</v>
      </c>
      <c r="C30" s="13">
        <f>Tomato_Base_Hours_Per_Week*Season_Weeks*B30*(1+Tomato_Dim_Pct)^B30</f>
        <v/>
      </c>
      <c r="D30" s="13">
        <f>C30-C29</f>
        <v/>
      </c>
      <c r="E30" s="10">
        <f>MIN(Farmer_Hours_Available,C30)*Farmer_Hourly_Rate+MAX(0,C30-Farmer_Hours_Available)*Temp_Hourly_Rate</f>
        <v/>
      </c>
      <c r="F30" s="10">
        <f>E30-E29</f>
        <v/>
      </c>
      <c r="G30" s="10">
        <f>Tomato_Revenue_Per_Bed-Tomato_Fertilizer_Per_Bed</f>
        <v/>
      </c>
      <c r="H30" s="14">
        <f>IF(AND(F30&gt;G30,COUNT(H12:H29)=0),B30,"")</f>
        <v/>
      </c>
    </row>
    <row r="31">
      <c r="A31" s="12" t="inlineStr">
        <is>
          <t>Tomato</t>
        </is>
      </c>
      <c r="B31" s="11" t="n">
        <v>19</v>
      </c>
      <c r="C31" s="13">
        <f>Tomato_Base_Hours_Per_Week*Season_Weeks*B31*(1+Tomato_Dim_Pct)^B31</f>
        <v/>
      </c>
      <c r="D31" s="13">
        <f>C31-C30</f>
        <v/>
      </c>
      <c r="E31" s="10">
        <f>MIN(Farmer_Hours_Available,C31)*Farmer_Hourly_Rate+MAX(0,C31-Farmer_Hours_Available)*Temp_Hourly_Rate</f>
        <v/>
      </c>
      <c r="F31" s="10">
        <f>E31-E30</f>
        <v/>
      </c>
      <c r="G31" s="10">
        <f>Tomato_Revenue_Per_Bed-Tomato_Fertilizer_Per_Bed</f>
        <v/>
      </c>
      <c r="H31" s="14">
        <f>IF(AND(F31&gt;G31,COUNT(H12:H30)=0),B31,"")</f>
        <v/>
      </c>
    </row>
    <row r="32">
      <c r="A32" s="12" t="inlineStr">
        <is>
          <t>Tomato</t>
        </is>
      </c>
      <c r="B32" s="11" t="n">
        <v>20</v>
      </c>
      <c r="C32" s="13">
        <f>Tomato_Base_Hours_Per_Week*Season_Weeks*B32*(1+Tomato_Dim_Pct)^B32</f>
        <v/>
      </c>
      <c r="D32" s="13">
        <f>C32-C31</f>
        <v/>
      </c>
      <c r="E32" s="10">
        <f>MIN(Farmer_Hours_Available,C32)*Farmer_Hourly_Rate+MAX(0,C32-Farmer_Hours_Available)*Temp_Hourly_Rate</f>
        <v/>
      </c>
      <c r="F32" s="10">
        <f>E32-E31</f>
        <v/>
      </c>
      <c r="G32" s="10">
        <f>Tomato_Revenue_Per_Bed-Tomato_Fertilizer_Per_Bed</f>
        <v/>
      </c>
      <c r="H32" s="14">
        <f>IF(AND(F32&gt;G32,COUNT(H12:H31)=0),B32,"")</f>
        <v/>
      </c>
    </row>
    <row r="34">
      <c r="A34" s="12" t="inlineStr">
        <is>
          <t>Mesclun</t>
        </is>
      </c>
      <c r="B34" s="11" t="n">
        <v>0</v>
      </c>
      <c r="C34" s="13">
        <f>0</f>
        <v/>
      </c>
      <c r="D34" s="13">
        <f>0</f>
        <v/>
      </c>
      <c r="E34" s="10">
        <f>0</f>
        <v/>
      </c>
      <c r="F34" s="10">
        <f>0</f>
        <v/>
      </c>
      <c r="G34" s="10">
        <f>Mesclun_Revenue_Per_Bed-Mesclun_Fertilizer_Per_Bed</f>
        <v/>
      </c>
      <c r="H34" s="14">
        <f>""</f>
        <v/>
      </c>
    </row>
    <row r="35">
      <c r="A35" s="12" t="inlineStr">
        <is>
          <t>Mesclun</t>
        </is>
      </c>
      <c r="B35" s="11" t="n">
        <v>1</v>
      </c>
      <c r="C35" s="13">
        <f>Mesclun_Base_Hours_Per_Week*Season_Weeks*B35*(1+Mesclun_Dim_Pct)^B35</f>
        <v/>
      </c>
      <c r="D35" s="13">
        <f>C35-C34</f>
        <v/>
      </c>
      <c r="E35" s="10">
        <f>MIN(Farmer_Hours_Available,C35)*Farmer_Hourly_Rate+MAX(0,C35-Farmer_Hours_Available)*Temp_Hourly_Rate</f>
        <v/>
      </c>
      <c r="F35" s="10">
        <f>E35-E34</f>
        <v/>
      </c>
      <c r="G35" s="10">
        <f>Mesclun_Revenue_Per_Bed-Mesclun_Fertilizer_Per_Bed</f>
        <v/>
      </c>
      <c r="H35" s="14">
        <f>IF(AND(F35&gt;G35,COUNT(H34:H34)=0),B35,"")</f>
        <v/>
      </c>
    </row>
    <row r="36">
      <c r="A36" s="12" t="inlineStr">
        <is>
          <t>Mesclun</t>
        </is>
      </c>
      <c r="B36" s="11" t="n">
        <v>2</v>
      </c>
      <c r="C36" s="13">
        <f>Mesclun_Base_Hours_Per_Week*Season_Weeks*B36*(1+Mesclun_Dim_Pct)^B36</f>
        <v/>
      </c>
      <c r="D36" s="13">
        <f>C36-C35</f>
        <v/>
      </c>
      <c r="E36" s="10">
        <f>MIN(Farmer_Hours_Available,C36)*Farmer_Hourly_Rate+MAX(0,C36-Farmer_Hours_Available)*Temp_Hourly_Rate</f>
        <v/>
      </c>
      <c r="F36" s="10">
        <f>E36-E35</f>
        <v/>
      </c>
      <c r="G36" s="10">
        <f>Mesclun_Revenue_Per_Bed-Mesclun_Fertilizer_Per_Bed</f>
        <v/>
      </c>
      <c r="H36" s="14">
        <f>IF(AND(F36&gt;G36,COUNT(H34:H35)=0),B36,"")</f>
        <v/>
      </c>
    </row>
    <row r="37">
      <c r="A37" s="12" t="inlineStr">
        <is>
          <t>Mesclun</t>
        </is>
      </c>
      <c r="B37" s="11" t="n">
        <v>3</v>
      </c>
      <c r="C37" s="13">
        <f>Mesclun_Base_Hours_Per_Week*Season_Weeks*B37*(1+Mesclun_Dim_Pct)^B37</f>
        <v/>
      </c>
      <c r="D37" s="13">
        <f>C37-C36</f>
        <v/>
      </c>
      <c r="E37" s="10">
        <f>MIN(Farmer_Hours_Available,C37)*Farmer_Hourly_Rate+MAX(0,C37-Farmer_Hours_Available)*Temp_Hourly_Rate</f>
        <v/>
      </c>
      <c r="F37" s="10">
        <f>E37-E36</f>
        <v/>
      </c>
      <c r="G37" s="10">
        <f>Mesclun_Revenue_Per_Bed-Mesclun_Fertilizer_Per_Bed</f>
        <v/>
      </c>
      <c r="H37" s="14">
        <f>IF(AND(F37&gt;G37,COUNT(H34:H36)=0),B37,"")</f>
        <v/>
      </c>
    </row>
    <row r="38">
      <c r="A38" s="12" t="inlineStr">
        <is>
          <t>Mesclun</t>
        </is>
      </c>
      <c r="B38" s="11" t="n">
        <v>4</v>
      </c>
      <c r="C38" s="13">
        <f>Mesclun_Base_Hours_Per_Week*Season_Weeks*B38*(1+Mesclun_Dim_Pct)^B38</f>
        <v/>
      </c>
      <c r="D38" s="13">
        <f>C38-C37</f>
        <v/>
      </c>
      <c r="E38" s="10">
        <f>MIN(Farmer_Hours_Available,C38)*Farmer_Hourly_Rate+MAX(0,C38-Farmer_Hours_Available)*Temp_Hourly_Rate</f>
        <v/>
      </c>
      <c r="F38" s="10">
        <f>E38-E37</f>
        <v/>
      </c>
      <c r="G38" s="10">
        <f>Mesclun_Revenue_Per_Bed-Mesclun_Fertilizer_Per_Bed</f>
        <v/>
      </c>
      <c r="H38" s="14">
        <f>IF(AND(F38&gt;G38,COUNT(H34:H37)=0),B38,"")</f>
        <v/>
      </c>
    </row>
    <row r="39">
      <c r="A39" s="12" t="inlineStr">
        <is>
          <t>Mesclun</t>
        </is>
      </c>
      <c r="B39" s="11" t="n">
        <v>5</v>
      </c>
      <c r="C39" s="13">
        <f>Mesclun_Base_Hours_Per_Week*Season_Weeks*B39*(1+Mesclun_Dim_Pct)^B39</f>
        <v/>
      </c>
      <c r="D39" s="13">
        <f>C39-C38</f>
        <v/>
      </c>
      <c r="E39" s="10">
        <f>MIN(Farmer_Hours_Available,C39)*Farmer_Hourly_Rate+MAX(0,C39-Farmer_Hours_Available)*Temp_Hourly_Rate</f>
        <v/>
      </c>
      <c r="F39" s="10">
        <f>E39-E38</f>
        <v/>
      </c>
      <c r="G39" s="10">
        <f>Mesclun_Revenue_Per_Bed-Mesclun_Fertilizer_Per_Bed</f>
        <v/>
      </c>
      <c r="H39" s="14">
        <f>IF(AND(F39&gt;G39,COUNT(H34:H38)=0),B39,"")</f>
        <v/>
      </c>
    </row>
    <row r="40">
      <c r="A40" s="12" t="inlineStr">
        <is>
          <t>Mesclun</t>
        </is>
      </c>
      <c r="B40" s="11" t="n">
        <v>6</v>
      </c>
      <c r="C40" s="13">
        <f>Mesclun_Base_Hours_Per_Week*Season_Weeks*B40*(1+Mesclun_Dim_Pct)^B40</f>
        <v/>
      </c>
      <c r="D40" s="13">
        <f>C40-C39</f>
        <v/>
      </c>
      <c r="E40" s="10">
        <f>MIN(Farmer_Hours_Available,C40)*Farmer_Hourly_Rate+MAX(0,C40-Farmer_Hours_Available)*Temp_Hourly_Rate</f>
        <v/>
      </c>
      <c r="F40" s="10">
        <f>E40-E39</f>
        <v/>
      </c>
      <c r="G40" s="10">
        <f>Mesclun_Revenue_Per_Bed-Mesclun_Fertilizer_Per_Bed</f>
        <v/>
      </c>
      <c r="H40" s="14">
        <f>IF(AND(F40&gt;G40,COUNT(H34:H39)=0),B40,"")</f>
        <v/>
      </c>
    </row>
    <row r="41">
      <c r="A41" s="12" t="inlineStr">
        <is>
          <t>Mesclun</t>
        </is>
      </c>
      <c r="B41" s="11" t="n">
        <v>7</v>
      </c>
      <c r="C41" s="13">
        <f>Mesclun_Base_Hours_Per_Week*Season_Weeks*B41*(1+Mesclun_Dim_Pct)^B41</f>
        <v/>
      </c>
      <c r="D41" s="13">
        <f>C41-C40</f>
        <v/>
      </c>
      <c r="E41" s="10">
        <f>MIN(Farmer_Hours_Available,C41)*Farmer_Hourly_Rate+MAX(0,C41-Farmer_Hours_Available)*Temp_Hourly_Rate</f>
        <v/>
      </c>
      <c r="F41" s="10">
        <f>E41-E40</f>
        <v/>
      </c>
      <c r="G41" s="10">
        <f>Mesclun_Revenue_Per_Bed-Mesclun_Fertilizer_Per_Bed</f>
        <v/>
      </c>
      <c r="H41" s="14">
        <f>IF(AND(F41&gt;G41,COUNT(H34:H40)=0),B41,"")</f>
        <v/>
      </c>
    </row>
    <row r="42">
      <c r="A42" s="12" t="inlineStr">
        <is>
          <t>Mesclun</t>
        </is>
      </c>
      <c r="B42" s="11" t="n">
        <v>8</v>
      </c>
      <c r="C42" s="13">
        <f>Mesclun_Base_Hours_Per_Week*Season_Weeks*B42*(1+Mesclun_Dim_Pct)^B42</f>
        <v/>
      </c>
      <c r="D42" s="13">
        <f>C42-C41</f>
        <v/>
      </c>
      <c r="E42" s="10">
        <f>MIN(Farmer_Hours_Available,C42)*Farmer_Hourly_Rate+MAX(0,C42-Farmer_Hours_Available)*Temp_Hourly_Rate</f>
        <v/>
      </c>
      <c r="F42" s="10">
        <f>E42-E41</f>
        <v/>
      </c>
      <c r="G42" s="10">
        <f>Mesclun_Revenue_Per_Bed-Mesclun_Fertilizer_Per_Bed</f>
        <v/>
      </c>
      <c r="H42" s="14">
        <f>IF(AND(F42&gt;G42,COUNT(H34:H41)=0),B42,"")</f>
        <v/>
      </c>
    </row>
    <row r="43">
      <c r="A43" s="12" t="inlineStr">
        <is>
          <t>Mesclun</t>
        </is>
      </c>
      <c r="B43" s="11" t="n">
        <v>9</v>
      </c>
      <c r="C43" s="13">
        <f>Mesclun_Base_Hours_Per_Week*Season_Weeks*B43*(1+Mesclun_Dim_Pct)^B43</f>
        <v/>
      </c>
      <c r="D43" s="13">
        <f>C43-C42</f>
        <v/>
      </c>
      <c r="E43" s="10">
        <f>MIN(Farmer_Hours_Available,C43)*Farmer_Hourly_Rate+MAX(0,C43-Farmer_Hours_Available)*Temp_Hourly_Rate</f>
        <v/>
      </c>
      <c r="F43" s="10">
        <f>E43-E42</f>
        <v/>
      </c>
      <c r="G43" s="10">
        <f>Mesclun_Revenue_Per_Bed-Mesclun_Fertilizer_Per_Bed</f>
        <v/>
      </c>
      <c r="H43" s="14">
        <f>IF(AND(F43&gt;G43,COUNT(H34:H42)=0),B43,"")</f>
        <v/>
      </c>
    </row>
    <row r="44">
      <c r="A44" s="12" t="inlineStr">
        <is>
          <t>Mesclun</t>
        </is>
      </c>
      <c r="B44" s="11" t="n">
        <v>10</v>
      </c>
      <c r="C44" s="13">
        <f>Mesclun_Base_Hours_Per_Week*Season_Weeks*B44*(1+Mesclun_Dim_Pct)^B44</f>
        <v/>
      </c>
      <c r="D44" s="13">
        <f>C44-C43</f>
        <v/>
      </c>
      <c r="E44" s="10">
        <f>MIN(Farmer_Hours_Available,C44)*Farmer_Hourly_Rate+MAX(0,C44-Farmer_Hours_Available)*Temp_Hourly_Rate</f>
        <v/>
      </c>
      <c r="F44" s="10">
        <f>E44-E43</f>
        <v/>
      </c>
      <c r="G44" s="10">
        <f>Mesclun_Revenue_Per_Bed-Mesclun_Fertilizer_Per_Bed</f>
        <v/>
      </c>
      <c r="H44" s="14">
        <f>IF(AND(F44&gt;G44,COUNT(H34:H43)=0),B44,"")</f>
        <v/>
      </c>
    </row>
    <row r="45">
      <c r="A45" s="12" t="inlineStr">
        <is>
          <t>Mesclun</t>
        </is>
      </c>
      <c r="B45" s="11" t="n">
        <v>11</v>
      </c>
      <c r="C45" s="13">
        <f>Mesclun_Base_Hours_Per_Week*Season_Weeks*B45*(1+Mesclun_Dim_Pct)^B45</f>
        <v/>
      </c>
      <c r="D45" s="13">
        <f>C45-C44</f>
        <v/>
      </c>
      <c r="E45" s="10">
        <f>MIN(Farmer_Hours_Available,C45)*Farmer_Hourly_Rate+MAX(0,C45-Farmer_Hours_Available)*Temp_Hourly_Rate</f>
        <v/>
      </c>
      <c r="F45" s="10">
        <f>E45-E44</f>
        <v/>
      </c>
      <c r="G45" s="10">
        <f>Mesclun_Revenue_Per_Bed-Mesclun_Fertilizer_Per_Bed</f>
        <v/>
      </c>
      <c r="H45" s="14">
        <f>IF(AND(F45&gt;G45,COUNT(H34:H44)=0),B45,"")</f>
        <v/>
      </c>
    </row>
    <row r="46">
      <c r="A46" s="12" t="inlineStr">
        <is>
          <t>Mesclun</t>
        </is>
      </c>
      <c r="B46" s="11" t="n">
        <v>12</v>
      </c>
      <c r="C46" s="13">
        <f>Mesclun_Base_Hours_Per_Week*Season_Weeks*B46*(1+Mesclun_Dim_Pct)^B46</f>
        <v/>
      </c>
      <c r="D46" s="13">
        <f>C46-C45</f>
        <v/>
      </c>
      <c r="E46" s="10">
        <f>MIN(Farmer_Hours_Available,C46)*Farmer_Hourly_Rate+MAX(0,C46-Farmer_Hours_Available)*Temp_Hourly_Rate</f>
        <v/>
      </c>
      <c r="F46" s="10">
        <f>E46-E45</f>
        <v/>
      </c>
      <c r="G46" s="10">
        <f>Mesclun_Revenue_Per_Bed-Mesclun_Fertilizer_Per_Bed</f>
        <v/>
      </c>
      <c r="H46" s="14">
        <f>IF(AND(F46&gt;G46,COUNT(H34:H45)=0),B46,"")</f>
        <v/>
      </c>
    </row>
    <row r="47">
      <c r="A47" s="12" t="inlineStr">
        <is>
          <t>Mesclun</t>
        </is>
      </c>
      <c r="B47" s="11" t="n">
        <v>13</v>
      </c>
      <c r="C47" s="13">
        <f>Mesclun_Base_Hours_Per_Week*Season_Weeks*B47*(1+Mesclun_Dim_Pct)^B47</f>
        <v/>
      </c>
      <c r="D47" s="13">
        <f>C47-C46</f>
        <v/>
      </c>
      <c r="E47" s="10">
        <f>MIN(Farmer_Hours_Available,C47)*Farmer_Hourly_Rate+MAX(0,C47-Farmer_Hours_Available)*Temp_Hourly_Rate</f>
        <v/>
      </c>
      <c r="F47" s="10">
        <f>E47-E46</f>
        <v/>
      </c>
      <c r="G47" s="10">
        <f>Mesclun_Revenue_Per_Bed-Mesclun_Fertilizer_Per_Bed</f>
        <v/>
      </c>
      <c r="H47" s="14">
        <f>IF(AND(F47&gt;G47,COUNT(H34:H46)=0),B47,"")</f>
        <v/>
      </c>
    </row>
    <row r="48">
      <c r="A48" s="12" t="inlineStr">
        <is>
          <t>Mesclun</t>
        </is>
      </c>
      <c r="B48" s="11" t="n">
        <v>14</v>
      </c>
      <c r="C48" s="13">
        <f>Mesclun_Base_Hours_Per_Week*Season_Weeks*B48*(1+Mesclun_Dim_Pct)^B48</f>
        <v/>
      </c>
      <c r="D48" s="13">
        <f>C48-C47</f>
        <v/>
      </c>
      <c r="E48" s="10">
        <f>MIN(Farmer_Hours_Available,C48)*Farmer_Hourly_Rate+MAX(0,C48-Farmer_Hours_Available)*Temp_Hourly_Rate</f>
        <v/>
      </c>
      <c r="F48" s="10">
        <f>E48-E47</f>
        <v/>
      </c>
      <c r="G48" s="10">
        <f>Mesclun_Revenue_Per_Bed-Mesclun_Fertilizer_Per_Bed</f>
        <v/>
      </c>
      <c r="H48" s="14">
        <f>IF(AND(F48&gt;G48,COUNT(H34:H47)=0),B48,"")</f>
        <v/>
      </c>
    </row>
    <row r="49">
      <c r="A49" s="12" t="inlineStr">
        <is>
          <t>Mesclun</t>
        </is>
      </c>
      <c r="B49" s="11" t="n">
        <v>15</v>
      </c>
      <c r="C49" s="13">
        <f>Mesclun_Base_Hours_Per_Week*Season_Weeks*B49*(1+Mesclun_Dim_Pct)^B49</f>
        <v/>
      </c>
      <c r="D49" s="13">
        <f>C49-C48</f>
        <v/>
      </c>
      <c r="E49" s="10">
        <f>MIN(Farmer_Hours_Available,C49)*Farmer_Hourly_Rate+MAX(0,C49-Farmer_Hours_Available)*Temp_Hourly_Rate</f>
        <v/>
      </c>
      <c r="F49" s="10">
        <f>E49-E48</f>
        <v/>
      </c>
      <c r="G49" s="10">
        <f>Mesclun_Revenue_Per_Bed-Mesclun_Fertilizer_Per_Bed</f>
        <v/>
      </c>
      <c r="H49" s="14">
        <f>IF(AND(F49&gt;G49,COUNT(H34:H48)=0),B49,"")</f>
        <v/>
      </c>
    </row>
    <row r="50">
      <c r="A50" s="12" t="inlineStr">
        <is>
          <t>Mesclun</t>
        </is>
      </c>
      <c r="B50" s="11" t="n">
        <v>16</v>
      </c>
      <c r="C50" s="13">
        <f>Mesclun_Base_Hours_Per_Week*Season_Weeks*B50*(1+Mesclun_Dim_Pct)^B50</f>
        <v/>
      </c>
      <c r="D50" s="13">
        <f>C50-C49</f>
        <v/>
      </c>
      <c r="E50" s="10">
        <f>MIN(Farmer_Hours_Available,C50)*Farmer_Hourly_Rate+MAX(0,C50-Farmer_Hours_Available)*Temp_Hourly_Rate</f>
        <v/>
      </c>
      <c r="F50" s="10">
        <f>E50-E49</f>
        <v/>
      </c>
      <c r="G50" s="10">
        <f>Mesclun_Revenue_Per_Bed-Mesclun_Fertilizer_Per_Bed</f>
        <v/>
      </c>
      <c r="H50" s="14">
        <f>IF(AND(F50&gt;G50,COUNT(H34:H49)=0),B50,"")</f>
        <v/>
      </c>
    </row>
    <row r="51">
      <c r="A51" s="12" t="inlineStr">
        <is>
          <t>Mesclun</t>
        </is>
      </c>
      <c r="B51" s="11" t="n">
        <v>17</v>
      </c>
      <c r="C51" s="13">
        <f>Mesclun_Base_Hours_Per_Week*Season_Weeks*B51*(1+Mesclun_Dim_Pct)^B51</f>
        <v/>
      </c>
      <c r="D51" s="13">
        <f>C51-C50</f>
        <v/>
      </c>
      <c r="E51" s="10">
        <f>MIN(Farmer_Hours_Available,C51)*Farmer_Hourly_Rate+MAX(0,C51-Farmer_Hours_Available)*Temp_Hourly_Rate</f>
        <v/>
      </c>
      <c r="F51" s="10">
        <f>E51-E50</f>
        <v/>
      </c>
      <c r="G51" s="10">
        <f>Mesclun_Revenue_Per_Bed-Mesclun_Fertilizer_Per_Bed</f>
        <v/>
      </c>
      <c r="H51" s="14">
        <f>IF(AND(F51&gt;G51,COUNT(H34:H50)=0),B51,"")</f>
        <v/>
      </c>
    </row>
    <row r="52">
      <c r="A52" s="12" t="inlineStr">
        <is>
          <t>Mesclun</t>
        </is>
      </c>
      <c r="B52" s="11" t="n">
        <v>18</v>
      </c>
      <c r="C52" s="13">
        <f>Mesclun_Base_Hours_Per_Week*Season_Weeks*B52*(1+Mesclun_Dim_Pct)^B52</f>
        <v/>
      </c>
      <c r="D52" s="13">
        <f>C52-C51</f>
        <v/>
      </c>
      <c r="E52" s="10">
        <f>MIN(Farmer_Hours_Available,C52)*Farmer_Hourly_Rate+MAX(0,C52-Farmer_Hours_Available)*Temp_Hourly_Rate</f>
        <v/>
      </c>
      <c r="F52" s="10">
        <f>E52-E51</f>
        <v/>
      </c>
      <c r="G52" s="10">
        <f>Mesclun_Revenue_Per_Bed-Mesclun_Fertilizer_Per_Bed</f>
        <v/>
      </c>
      <c r="H52" s="14">
        <f>IF(AND(F52&gt;G52,COUNT(H34:H51)=0),B52,"")</f>
        <v/>
      </c>
    </row>
    <row r="53">
      <c r="A53" s="12" t="inlineStr">
        <is>
          <t>Mesclun</t>
        </is>
      </c>
      <c r="B53" s="11" t="n">
        <v>19</v>
      </c>
      <c r="C53" s="13">
        <f>Mesclun_Base_Hours_Per_Week*Season_Weeks*B53*(1+Mesclun_Dim_Pct)^B53</f>
        <v/>
      </c>
      <c r="D53" s="13">
        <f>C53-C52</f>
        <v/>
      </c>
      <c r="E53" s="10">
        <f>MIN(Farmer_Hours_Available,C53)*Farmer_Hourly_Rate+MAX(0,C53-Farmer_Hours_Available)*Temp_Hourly_Rate</f>
        <v/>
      </c>
      <c r="F53" s="10">
        <f>E53-E52</f>
        <v/>
      </c>
      <c r="G53" s="10">
        <f>Mesclun_Revenue_Per_Bed-Mesclun_Fertilizer_Per_Bed</f>
        <v/>
      </c>
      <c r="H53" s="14">
        <f>IF(AND(F53&gt;G53,COUNT(H34:H52)=0),B53,"")</f>
        <v/>
      </c>
    </row>
    <row r="54">
      <c r="A54" s="12" t="inlineStr">
        <is>
          <t>Mesclun</t>
        </is>
      </c>
      <c r="B54" s="11" t="n">
        <v>20</v>
      </c>
      <c r="C54" s="13">
        <f>Mesclun_Base_Hours_Per_Week*Season_Weeks*B54*(1+Mesclun_Dim_Pct)^B54</f>
        <v/>
      </c>
      <c r="D54" s="13">
        <f>C54-C53</f>
        <v/>
      </c>
      <c r="E54" s="10">
        <f>MIN(Farmer_Hours_Available,C54)*Farmer_Hourly_Rate+MAX(0,C54-Farmer_Hours_Available)*Temp_Hourly_Rate</f>
        <v/>
      </c>
      <c r="F54" s="10">
        <f>E54-E53</f>
        <v/>
      </c>
      <c r="G54" s="10">
        <f>Mesclun_Revenue_Per_Bed-Mesclun_Fertilizer_Per_Bed</f>
        <v/>
      </c>
      <c r="H54" s="14">
        <f>IF(AND(F54&gt;G54,COUNT(H34:H53)=0),B54,"")</f>
        <v/>
      </c>
    </row>
    <row r="55">
      <c r="A55" s="12" t="inlineStr">
        <is>
          <t>Mesclun</t>
        </is>
      </c>
      <c r="B55" s="11" t="n">
        <v>21</v>
      </c>
      <c r="C55" s="13">
        <f>Mesclun_Base_Hours_Per_Week*Season_Weeks*B55*(1+Mesclun_Dim_Pct)^B55</f>
        <v/>
      </c>
      <c r="D55" s="13">
        <f>C55-C54</f>
        <v/>
      </c>
      <c r="E55" s="10">
        <f>MIN(Farmer_Hours_Available,C55)*Farmer_Hourly_Rate+MAX(0,C55-Farmer_Hours_Available)*Temp_Hourly_Rate</f>
        <v/>
      </c>
      <c r="F55" s="10">
        <f>E55-E54</f>
        <v/>
      </c>
      <c r="G55" s="10">
        <f>Mesclun_Revenue_Per_Bed-Mesclun_Fertilizer_Per_Bed</f>
        <v/>
      </c>
      <c r="H55" s="14">
        <f>IF(AND(F55&gt;G55,COUNT(H34:H54)=0),B55,"")</f>
        <v/>
      </c>
    </row>
    <row r="56">
      <c r="A56" s="12" t="inlineStr">
        <is>
          <t>Mesclun</t>
        </is>
      </c>
      <c r="B56" s="11" t="n">
        <v>22</v>
      </c>
      <c r="C56" s="13">
        <f>Mesclun_Base_Hours_Per_Week*Season_Weeks*B56*(1+Mesclun_Dim_Pct)^B56</f>
        <v/>
      </c>
      <c r="D56" s="13">
        <f>C56-C55</f>
        <v/>
      </c>
      <c r="E56" s="10">
        <f>MIN(Farmer_Hours_Available,C56)*Farmer_Hourly_Rate+MAX(0,C56-Farmer_Hours_Available)*Temp_Hourly_Rate</f>
        <v/>
      </c>
      <c r="F56" s="10">
        <f>E56-E55</f>
        <v/>
      </c>
      <c r="G56" s="10">
        <f>Mesclun_Revenue_Per_Bed-Mesclun_Fertilizer_Per_Bed</f>
        <v/>
      </c>
      <c r="H56" s="14">
        <f>IF(AND(F56&gt;G56,COUNT(H34:H55)=0),B56,"")</f>
        <v/>
      </c>
    </row>
    <row r="57">
      <c r="A57" s="12" t="inlineStr">
        <is>
          <t>Mesclun</t>
        </is>
      </c>
      <c r="B57" s="11" t="n">
        <v>23</v>
      </c>
      <c r="C57" s="13">
        <f>Mesclun_Base_Hours_Per_Week*Season_Weeks*B57*(1+Mesclun_Dim_Pct)^B57</f>
        <v/>
      </c>
      <c r="D57" s="13">
        <f>C57-C56</f>
        <v/>
      </c>
      <c r="E57" s="10">
        <f>MIN(Farmer_Hours_Available,C57)*Farmer_Hourly_Rate+MAX(0,C57-Farmer_Hours_Available)*Temp_Hourly_Rate</f>
        <v/>
      </c>
      <c r="F57" s="10">
        <f>E57-E56</f>
        <v/>
      </c>
      <c r="G57" s="10">
        <f>Mesclun_Revenue_Per_Bed-Mesclun_Fertilizer_Per_Bed</f>
        <v/>
      </c>
      <c r="H57" s="14">
        <f>IF(AND(F57&gt;G57,COUNT(H34:H56)=0),B57,"")</f>
        <v/>
      </c>
    </row>
    <row r="58">
      <c r="A58" s="12" t="inlineStr">
        <is>
          <t>Mesclun</t>
        </is>
      </c>
      <c r="B58" s="11" t="n">
        <v>24</v>
      </c>
      <c r="C58" s="13">
        <f>Mesclun_Base_Hours_Per_Week*Season_Weeks*B58*(1+Mesclun_Dim_Pct)^B58</f>
        <v/>
      </c>
      <c r="D58" s="13">
        <f>C58-C57</f>
        <v/>
      </c>
      <c r="E58" s="10">
        <f>MIN(Farmer_Hours_Available,C58)*Farmer_Hourly_Rate+MAX(0,C58-Farmer_Hours_Available)*Temp_Hourly_Rate</f>
        <v/>
      </c>
      <c r="F58" s="10">
        <f>E58-E57</f>
        <v/>
      </c>
      <c r="G58" s="10">
        <f>Mesclun_Revenue_Per_Bed-Mesclun_Fertilizer_Per_Bed</f>
        <v/>
      </c>
      <c r="H58" s="14">
        <f>IF(AND(F58&gt;G58,COUNT(H34:H57)=0),B58,"")</f>
        <v/>
      </c>
    </row>
    <row r="59">
      <c r="A59" s="12" t="inlineStr">
        <is>
          <t>Mesclun</t>
        </is>
      </c>
      <c r="B59" s="11" t="n">
        <v>25</v>
      </c>
      <c r="C59" s="13">
        <f>Mesclun_Base_Hours_Per_Week*Season_Weeks*B59*(1+Mesclun_Dim_Pct)^B59</f>
        <v/>
      </c>
      <c r="D59" s="13">
        <f>C59-C58</f>
        <v/>
      </c>
      <c r="E59" s="10">
        <f>MIN(Farmer_Hours_Available,C59)*Farmer_Hourly_Rate+MAX(0,C59-Farmer_Hours_Available)*Temp_Hourly_Rate</f>
        <v/>
      </c>
      <c r="F59" s="10">
        <f>E59-E58</f>
        <v/>
      </c>
      <c r="G59" s="10">
        <f>Mesclun_Revenue_Per_Bed-Mesclun_Fertilizer_Per_Bed</f>
        <v/>
      </c>
      <c r="H59" s="14">
        <f>IF(AND(F59&gt;G59,COUNT(H34:H58)=0),B59,"")</f>
        <v/>
      </c>
    </row>
    <row r="60">
      <c r="A60" s="12" t="inlineStr">
        <is>
          <t>Mesclun</t>
        </is>
      </c>
      <c r="B60" s="11" t="n">
        <v>26</v>
      </c>
      <c r="C60" s="13">
        <f>Mesclun_Base_Hours_Per_Week*Season_Weeks*B60*(1+Mesclun_Dim_Pct)^B60</f>
        <v/>
      </c>
      <c r="D60" s="13">
        <f>C60-C59</f>
        <v/>
      </c>
      <c r="E60" s="10">
        <f>MIN(Farmer_Hours_Available,C60)*Farmer_Hourly_Rate+MAX(0,C60-Farmer_Hours_Available)*Temp_Hourly_Rate</f>
        <v/>
      </c>
      <c r="F60" s="10">
        <f>E60-E59</f>
        <v/>
      </c>
      <c r="G60" s="10">
        <f>Mesclun_Revenue_Per_Bed-Mesclun_Fertilizer_Per_Bed</f>
        <v/>
      </c>
      <c r="H60" s="14">
        <f>IF(AND(F60&gt;G60,COUNT(H34:H59)=0),B60,"")</f>
        <v/>
      </c>
    </row>
    <row r="61">
      <c r="A61" s="12" t="inlineStr">
        <is>
          <t>Mesclun</t>
        </is>
      </c>
      <c r="B61" s="11" t="n">
        <v>27</v>
      </c>
      <c r="C61" s="13">
        <f>Mesclun_Base_Hours_Per_Week*Season_Weeks*B61*(1+Mesclun_Dim_Pct)^B61</f>
        <v/>
      </c>
      <c r="D61" s="13">
        <f>C61-C60</f>
        <v/>
      </c>
      <c r="E61" s="10">
        <f>MIN(Farmer_Hours_Available,C61)*Farmer_Hourly_Rate+MAX(0,C61-Farmer_Hours_Available)*Temp_Hourly_Rate</f>
        <v/>
      </c>
      <c r="F61" s="10">
        <f>E61-E60</f>
        <v/>
      </c>
      <c r="G61" s="10">
        <f>Mesclun_Revenue_Per_Bed-Mesclun_Fertilizer_Per_Bed</f>
        <v/>
      </c>
      <c r="H61" s="14">
        <f>IF(AND(F61&gt;G61,COUNT(H34:H60)=0),B61,"")</f>
        <v/>
      </c>
    </row>
    <row r="62">
      <c r="A62" s="12" t="inlineStr">
        <is>
          <t>Mesclun</t>
        </is>
      </c>
      <c r="B62" s="11" t="n">
        <v>28</v>
      </c>
      <c r="C62" s="13">
        <f>Mesclun_Base_Hours_Per_Week*Season_Weeks*B62*(1+Mesclun_Dim_Pct)^B62</f>
        <v/>
      </c>
      <c r="D62" s="13">
        <f>C62-C61</f>
        <v/>
      </c>
      <c r="E62" s="10">
        <f>MIN(Farmer_Hours_Available,C62)*Farmer_Hourly_Rate+MAX(0,C62-Farmer_Hours_Available)*Temp_Hourly_Rate</f>
        <v/>
      </c>
      <c r="F62" s="10">
        <f>E62-E61</f>
        <v/>
      </c>
      <c r="G62" s="10">
        <f>Mesclun_Revenue_Per_Bed-Mesclun_Fertilizer_Per_Bed</f>
        <v/>
      </c>
      <c r="H62" s="14">
        <f>IF(AND(F62&gt;G62,COUNT(H34:H61)=0),B62,"")</f>
        <v/>
      </c>
    </row>
    <row r="63">
      <c r="A63" s="12" t="inlineStr">
        <is>
          <t>Mesclun</t>
        </is>
      </c>
      <c r="B63" s="11" t="n">
        <v>29</v>
      </c>
      <c r="C63" s="13">
        <f>Mesclun_Base_Hours_Per_Week*Season_Weeks*B63*(1+Mesclun_Dim_Pct)^B63</f>
        <v/>
      </c>
      <c r="D63" s="13">
        <f>C63-C62</f>
        <v/>
      </c>
      <c r="E63" s="10">
        <f>MIN(Farmer_Hours_Available,C63)*Farmer_Hourly_Rate+MAX(0,C63-Farmer_Hours_Available)*Temp_Hourly_Rate</f>
        <v/>
      </c>
      <c r="F63" s="10">
        <f>E63-E62</f>
        <v/>
      </c>
      <c r="G63" s="10">
        <f>Mesclun_Revenue_Per_Bed-Mesclun_Fertilizer_Per_Bed</f>
        <v/>
      </c>
      <c r="H63" s="14">
        <f>IF(AND(F63&gt;G63,COUNT(H34:H62)=0),B63,"")</f>
        <v/>
      </c>
    </row>
    <row r="64">
      <c r="A64" s="12" t="inlineStr">
        <is>
          <t>Mesclun</t>
        </is>
      </c>
      <c r="B64" s="11" t="n">
        <v>30</v>
      </c>
      <c r="C64" s="13">
        <f>Mesclun_Base_Hours_Per_Week*Season_Weeks*B64*(1+Mesclun_Dim_Pct)^B64</f>
        <v/>
      </c>
      <c r="D64" s="13">
        <f>C64-C63</f>
        <v/>
      </c>
      <c r="E64" s="10">
        <f>MIN(Farmer_Hours_Available,C64)*Farmer_Hourly_Rate+MAX(0,C64-Farmer_Hours_Available)*Temp_Hourly_Rate</f>
        <v/>
      </c>
      <c r="F64" s="10">
        <f>E64-E63</f>
        <v/>
      </c>
      <c r="G64" s="10">
        <f>Mesclun_Revenue_Per_Bed-Mesclun_Fertilizer_Per_Bed</f>
        <v/>
      </c>
      <c r="H64" s="14">
        <f>IF(AND(F64&gt;G64,COUNT(H34:H63)=0),B64,"")</f>
        <v/>
      </c>
    </row>
    <row r="66">
      <c r="A66" s="12" t="inlineStr">
        <is>
          <t>Carrot</t>
        </is>
      </c>
      <c r="B66" s="11" t="n">
        <v>0</v>
      </c>
      <c r="C66" s="13">
        <f>0</f>
        <v/>
      </c>
      <c r="D66" s="13">
        <f>0</f>
        <v/>
      </c>
      <c r="E66" s="10">
        <f>0</f>
        <v/>
      </c>
      <c r="F66" s="10">
        <f>0</f>
        <v/>
      </c>
      <c r="G66" s="10">
        <f>Carrot_Revenue_Per_Bed-Carrot_Fertilizer_Per_Bed</f>
        <v/>
      </c>
      <c r="H66" s="14">
        <f>""</f>
        <v/>
      </c>
    </row>
    <row r="67">
      <c r="A67" s="12" t="inlineStr">
        <is>
          <t>Carrot</t>
        </is>
      </c>
      <c r="B67" s="11" t="n">
        <v>1</v>
      </c>
      <c r="C67" s="13">
        <f>Carrot_Base_Hours_Per_Week*Season_Weeks*B67*(1+Carrot_Dim_Pct)^B67</f>
        <v/>
      </c>
      <c r="D67" s="13">
        <f>C67-C66</f>
        <v/>
      </c>
      <c r="E67" s="10">
        <f>MIN(Farmer_Hours_Available,C67)*Farmer_Hourly_Rate+MAX(0,C67-Farmer_Hours_Available)*Temp_Hourly_Rate</f>
        <v/>
      </c>
      <c r="F67" s="10">
        <f>E67-E66</f>
        <v/>
      </c>
      <c r="G67" s="10">
        <f>Carrot_Revenue_Per_Bed-Carrot_Fertilizer_Per_Bed</f>
        <v/>
      </c>
      <c r="H67" s="14">
        <f>IF(AND(F67&gt;G67,COUNT(H66:H66)=0),B67,"")</f>
        <v/>
      </c>
    </row>
    <row r="68">
      <c r="A68" s="12" t="inlineStr">
        <is>
          <t>Carrot</t>
        </is>
      </c>
      <c r="B68" s="11" t="n">
        <v>2</v>
      </c>
      <c r="C68" s="13">
        <f>Carrot_Base_Hours_Per_Week*Season_Weeks*B68*(1+Carrot_Dim_Pct)^B68</f>
        <v/>
      </c>
      <c r="D68" s="13">
        <f>C68-C67</f>
        <v/>
      </c>
      <c r="E68" s="10">
        <f>MIN(Farmer_Hours_Available,C68)*Farmer_Hourly_Rate+MAX(0,C68-Farmer_Hours_Available)*Temp_Hourly_Rate</f>
        <v/>
      </c>
      <c r="F68" s="10">
        <f>E68-E67</f>
        <v/>
      </c>
      <c r="G68" s="10">
        <f>Carrot_Revenue_Per_Bed-Carrot_Fertilizer_Per_Bed</f>
        <v/>
      </c>
      <c r="H68" s="14">
        <f>IF(AND(F68&gt;G68,COUNT(H66:H67)=0),B68,"")</f>
        <v/>
      </c>
    </row>
    <row r="69">
      <c r="A69" s="12" t="inlineStr">
        <is>
          <t>Carrot</t>
        </is>
      </c>
      <c r="B69" s="11" t="n">
        <v>3</v>
      </c>
      <c r="C69" s="13">
        <f>Carrot_Base_Hours_Per_Week*Season_Weeks*B69*(1+Carrot_Dim_Pct)^B69</f>
        <v/>
      </c>
      <c r="D69" s="13">
        <f>C69-C68</f>
        <v/>
      </c>
      <c r="E69" s="10">
        <f>MIN(Farmer_Hours_Available,C69)*Farmer_Hourly_Rate+MAX(0,C69-Farmer_Hours_Available)*Temp_Hourly_Rate</f>
        <v/>
      </c>
      <c r="F69" s="10">
        <f>E69-E68</f>
        <v/>
      </c>
      <c r="G69" s="10">
        <f>Carrot_Revenue_Per_Bed-Carrot_Fertilizer_Per_Bed</f>
        <v/>
      </c>
      <c r="H69" s="14">
        <f>IF(AND(F69&gt;G69,COUNT(H66:H68)=0),B69,"")</f>
        <v/>
      </c>
    </row>
    <row r="70">
      <c r="A70" s="12" t="inlineStr">
        <is>
          <t>Carrot</t>
        </is>
      </c>
      <c r="B70" s="11" t="n">
        <v>4</v>
      </c>
      <c r="C70" s="13">
        <f>Carrot_Base_Hours_Per_Week*Season_Weeks*B70*(1+Carrot_Dim_Pct)^B70</f>
        <v/>
      </c>
      <c r="D70" s="13">
        <f>C70-C69</f>
        <v/>
      </c>
      <c r="E70" s="10">
        <f>MIN(Farmer_Hours_Available,C70)*Farmer_Hourly_Rate+MAX(0,C70-Farmer_Hours_Available)*Temp_Hourly_Rate</f>
        <v/>
      </c>
      <c r="F70" s="10">
        <f>E70-E69</f>
        <v/>
      </c>
      <c r="G70" s="10">
        <f>Carrot_Revenue_Per_Bed-Carrot_Fertilizer_Per_Bed</f>
        <v/>
      </c>
      <c r="H70" s="14">
        <f>IF(AND(F70&gt;G70,COUNT(H66:H69)=0),B70,"")</f>
        <v/>
      </c>
    </row>
    <row r="71">
      <c r="A71" s="12" t="inlineStr">
        <is>
          <t>Carrot</t>
        </is>
      </c>
      <c r="B71" s="11" t="n">
        <v>5</v>
      </c>
      <c r="C71" s="13">
        <f>Carrot_Base_Hours_Per_Week*Season_Weeks*B71*(1+Carrot_Dim_Pct)^B71</f>
        <v/>
      </c>
      <c r="D71" s="13">
        <f>C71-C70</f>
        <v/>
      </c>
      <c r="E71" s="10">
        <f>MIN(Farmer_Hours_Available,C71)*Farmer_Hourly_Rate+MAX(0,C71-Farmer_Hours_Available)*Temp_Hourly_Rate</f>
        <v/>
      </c>
      <c r="F71" s="10">
        <f>E71-E70</f>
        <v/>
      </c>
      <c r="G71" s="10">
        <f>Carrot_Revenue_Per_Bed-Carrot_Fertilizer_Per_Bed</f>
        <v/>
      </c>
      <c r="H71" s="14">
        <f>IF(AND(F71&gt;G71,COUNT(H66:H70)=0),B71,"")</f>
        <v/>
      </c>
    </row>
    <row r="72">
      <c r="A72" s="12" t="inlineStr">
        <is>
          <t>Carrot</t>
        </is>
      </c>
      <c r="B72" s="11" t="n">
        <v>6</v>
      </c>
      <c r="C72" s="13">
        <f>Carrot_Base_Hours_Per_Week*Season_Weeks*B72*(1+Carrot_Dim_Pct)^B72</f>
        <v/>
      </c>
      <c r="D72" s="13">
        <f>C72-C71</f>
        <v/>
      </c>
      <c r="E72" s="10">
        <f>MIN(Farmer_Hours_Available,C72)*Farmer_Hourly_Rate+MAX(0,C72-Farmer_Hours_Available)*Temp_Hourly_Rate</f>
        <v/>
      </c>
      <c r="F72" s="10">
        <f>E72-E71</f>
        <v/>
      </c>
      <c r="G72" s="10">
        <f>Carrot_Revenue_Per_Bed-Carrot_Fertilizer_Per_Bed</f>
        <v/>
      </c>
      <c r="H72" s="14">
        <f>IF(AND(F72&gt;G72,COUNT(H66:H71)=0),B72,"")</f>
        <v/>
      </c>
    </row>
    <row r="73">
      <c r="A73" s="12" t="inlineStr">
        <is>
          <t>Carrot</t>
        </is>
      </c>
      <c r="B73" s="11" t="n">
        <v>7</v>
      </c>
      <c r="C73" s="13">
        <f>Carrot_Base_Hours_Per_Week*Season_Weeks*B73*(1+Carrot_Dim_Pct)^B73</f>
        <v/>
      </c>
      <c r="D73" s="13">
        <f>C73-C72</f>
        <v/>
      </c>
      <c r="E73" s="10">
        <f>MIN(Farmer_Hours_Available,C73)*Farmer_Hourly_Rate+MAX(0,C73-Farmer_Hours_Available)*Temp_Hourly_Rate</f>
        <v/>
      </c>
      <c r="F73" s="10">
        <f>E73-E72</f>
        <v/>
      </c>
      <c r="G73" s="10">
        <f>Carrot_Revenue_Per_Bed-Carrot_Fertilizer_Per_Bed</f>
        <v/>
      </c>
      <c r="H73" s="14">
        <f>IF(AND(F73&gt;G73,COUNT(H66:H72)=0),B73,"")</f>
        <v/>
      </c>
    </row>
    <row r="74">
      <c r="A74" s="12" t="inlineStr">
        <is>
          <t>Carrot</t>
        </is>
      </c>
      <c r="B74" s="11" t="n">
        <v>8</v>
      </c>
      <c r="C74" s="13">
        <f>Carrot_Base_Hours_Per_Week*Season_Weeks*B74*(1+Carrot_Dim_Pct)^B74</f>
        <v/>
      </c>
      <c r="D74" s="13">
        <f>C74-C73</f>
        <v/>
      </c>
      <c r="E74" s="10">
        <f>MIN(Farmer_Hours_Available,C74)*Farmer_Hourly_Rate+MAX(0,C74-Farmer_Hours_Available)*Temp_Hourly_Rate</f>
        <v/>
      </c>
      <c r="F74" s="10">
        <f>E74-E73</f>
        <v/>
      </c>
      <c r="G74" s="10">
        <f>Carrot_Revenue_Per_Bed-Carrot_Fertilizer_Per_Bed</f>
        <v/>
      </c>
      <c r="H74" s="14">
        <f>IF(AND(F74&gt;G74,COUNT(H66:H73)=0),B74,"")</f>
        <v/>
      </c>
    </row>
    <row r="75">
      <c r="A75" s="12" t="inlineStr">
        <is>
          <t>Carrot</t>
        </is>
      </c>
      <c r="B75" s="11" t="n">
        <v>9</v>
      </c>
      <c r="C75" s="13">
        <f>Carrot_Base_Hours_Per_Week*Season_Weeks*B75*(1+Carrot_Dim_Pct)^B75</f>
        <v/>
      </c>
      <c r="D75" s="13">
        <f>C75-C74</f>
        <v/>
      </c>
      <c r="E75" s="10">
        <f>MIN(Farmer_Hours_Available,C75)*Farmer_Hourly_Rate+MAX(0,C75-Farmer_Hours_Available)*Temp_Hourly_Rate</f>
        <v/>
      </c>
      <c r="F75" s="10">
        <f>E75-E74</f>
        <v/>
      </c>
      <c r="G75" s="10">
        <f>Carrot_Revenue_Per_Bed-Carrot_Fertilizer_Per_Bed</f>
        <v/>
      </c>
      <c r="H75" s="14">
        <f>IF(AND(F75&gt;G75,COUNT(H66:H74)=0),B75,"")</f>
        <v/>
      </c>
    </row>
    <row r="76">
      <c r="A76" s="12" t="inlineStr">
        <is>
          <t>Carrot</t>
        </is>
      </c>
      <c r="B76" s="11" t="n">
        <v>10</v>
      </c>
      <c r="C76" s="13">
        <f>Carrot_Base_Hours_Per_Week*Season_Weeks*B76*(1+Carrot_Dim_Pct)^B76</f>
        <v/>
      </c>
      <c r="D76" s="13">
        <f>C76-C75</f>
        <v/>
      </c>
      <c r="E76" s="10">
        <f>MIN(Farmer_Hours_Available,C76)*Farmer_Hourly_Rate+MAX(0,C76-Farmer_Hours_Available)*Temp_Hourly_Rate</f>
        <v/>
      </c>
      <c r="F76" s="10">
        <f>E76-E75</f>
        <v/>
      </c>
      <c r="G76" s="10">
        <f>Carrot_Revenue_Per_Bed-Carrot_Fertilizer_Per_Bed</f>
        <v/>
      </c>
      <c r="H76" s="14">
        <f>IF(AND(F76&gt;G76,COUNT(H66:H75)=0),B76,"")</f>
        <v/>
      </c>
    </row>
    <row r="77">
      <c r="A77" s="12" t="inlineStr">
        <is>
          <t>Carrot</t>
        </is>
      </c>
      <c r="B77" s="11" t="n">
        <v>11</v>
      </c>
      <c r="C77" s="13">
        <f>Carrot_Base_Hours_Per_Week*Season_Weeks*B77*(1+Carrot_Dim_Pct)^B77</f>
        <v/>
      </c>
      <c r="D77" s="13">
        <f>C77-C76</f>
        <v/>
      </c>
      <c r="E77" s="10">
        <f>MIN(Farmer_Hours_Available,C77)*Farmer_Hourly_Rate+MAX(0,C77-Farmer_Hours_Available)*Temp_Hourly_Rate</f>
        <v/>
      </c>
      <c r="F77" s="10">
        <f>E77-E76</f>
        <v/>
      </c>
      <c r="G77" s="10">
        <f>Carrot_Revenue_Per_Bed-Carrot_Fertilizer_Per_Bed</f>
        <v/>
      </c>
      <c r="H77" s="14">
        <f>IF(AND(F77&gt;G77,COUNT(H66:H76)=0),B77,"")</f>
        <v/>
      </c>
    </row>
    <row r="78">
      <c r="A78" s="12" t="inlineStr">
        <is>
          <t>Carrot</t>
        </is>
      </c>
      <c r="B78" s="11" t="n">
        <v>12</v>
      </c>
      <c r="C78" s="13">
        <f>Carrot_Base_Hours_Per_Week*Season_Weeks*B78*(1+Carrot_Dim_Pct)^B78</f>
        <v/>
      </c>
      <c r="D78" s="13">
        <f>C78-C77</f>
        <v/>
      </c>
      <c r="E78" s="10">
        <f>MIN(Farmer_Hours_Available,C78)*Farmer_Hourly_Rate+MAX(0,C78-Farmer_Hours_Available)*Temp_Hourly_Rate</f>
        <v/>
      </c>
      <c r="F78" s="10">
        <f>E78-E77</f>
        <v/>
      </c>
      <c r="G78" s="10">
        <f>Carrot_Revenue_Per_Bed-Carrot_Fertilizer_Per_Bed</f>
        <v/>
      </c>
      <c r="H78" s="14">
        <f>IF(AND(F78&gt;G78,COUNT(H66:H77)=0),B78,"")</f>
        <v/>
      </c>
    </row>
    <row r="79">
      <c r="A79" s="12" t="inlineStr">
        <is>
          <t>Carrot</t>
        </is>
      </c>
      <c r="B79" s="11" t="n">
        <v>13</v>
      </c>
      <c r="C79" s="13">
        <f>Carrot_Base_Hours_Per_Week*Season_Weeks*B79*(1+Carrot_Dim_Pct)^B79</f>
        <v/>
      </c>
      <c r="D79" s="13">
        <f>C79-C78</f>
        <v/>
      </c>
      <c r="E79" s="10">
        <f>MIN(Farmer_Hours_Available,C79)*Farmer_Hourly_Rate+MAX(0,C79-Farmer_Hours_Available)*Temp_Hourly_Rate</f>
        <v/>
      </c>
      <c r="F79" s="10">
        <f>E79-E78</f>
        <v/>
      </c>
      <c r="G79" s="10">
        <f>Carrot_Revenue_Per_Bed-Carrot_Fertilizer_Per_Bed</f>
        <v/>
      </c>
      <c r="H79" s="14">
        <f>IF(AND(F79&gt;G79,COUNT(H66:H78)=0),B79,"")</f>
        <v/>
      </c>
    </row>
    <row r="80">
      <c r="A80" s="12" t="inlineStr">
        <is>
          <t>Carrot</t>
        </is>
      </c>
      <c r="B80" s="11" t="n">
        <v>14</v>
      </c>
      <c r="C80" s="13">
        <f>Carrot_Base_Hours_Per_Week*Season_Weeks*B80*(1+Carrot_Dim_Pct)^B80</f>
        <v/>
      </c>
      <c r="D80" s="13">
        <f>C80-C79</f>
        <v/>
      </c>
      <c r="E80" s="10">
        <f>MIN(Farmer_Hours_Available,C80)*Farmer_Hourly_Rate+MAX(0,C80-Farmer_Hours_Available)*Temp_Hourly_Rate</f>
        <v/>
      </c>
      <c r="F80" s="10">
        <f>E80-E79</f>
        <v/>
      </c>
      <c r="G80" s="10">
        <f>Carrot_Revenue_Per_Bed-Carrot_Fertilizer_Per_Bed</f>
        <v/>
      </c>
      <c r="H80" s="14">
        <f>IF(AND(F80&gt;G80,COUNT(H66:H79)=0),B80,"")</f>
        <v/>
      </c>
    </row>
    <row r="81">
      <c r="A81" s="12" t="inlineStr">
        <is>
          <t>Carrot</t>
        </is>
      </c>
      <c r="B81" s="11" t="n">
        <v>15</v>
      </c>
      <c r="C81" s="13">
        <f>Carrot_Base_Hours_Per_Week*Season_Weeks*B81*(1+Carrot_Dim_Pct)^B81</f>
        <v/>
      </c>
      <c r="D81" s="13">
        <f>C81-C80</f>
        <v/>
      </c>
      <c r="E81" s="10">
        <f>MIN(Farmer_Hours_Available,C81)*Farmer_Hourly_Rate+MAX(0,C81-Farmer_Hours_Available)*Temp_Hourly_Rate</f>
        <v/>
      </c>
      <c r="F81" s="10">
        <f>E81-E80</f>
        <v/>
      </c>
      <c r="G81" s="10">
        <f>Carrot_Revenue_Per_Bed-Carrot_Fertilizer_Per_Bed</f>
        <v/>
      </c>
      <c r="H81" s="14">
        <f>IF(AND(F81&gt;G81,COUNT(H66:H80)=0),B81,"")</f>
        <v/>
      </c>
    </row>
    <row r="82">
      <c r="A82" s="12" t="inlineStr">
        <is>
          <t>Carrot</t>
        </is>
      </c>
      <c r="B82" s="11" t="n">
        <v>16</v>
      </c>
      <c r="C82" s="13">
        <f>Carrot_Base_Hours_Per_Week*Season_Weeks*B82*(1+Carrot_Dim_Pct)^B82</f>
        <v/>
      </c>
      <c r="D82" s="13">
        <f>C82-C81</f>
        <v/>
      </c>
      <c r="E82" s="10">
        <f>MIN(Farmer_Hours_Available,C82)*Farmer_Hourly_Rate+MAX(0,C82-Farmer_Hours_Available)*Temp_Hourly_Rate</f>
        <v/>
      </c>
      <c r="F82" s="10">
        <f>E82-E81</f>
        <v/>
      </c>
      <c r="G82" s="10">
        <f>Carrot_Revenue_Per_Bed-Carrot_Fertilizer_Per_Bed</f>
        <v/>
      </c>
      <c r="H82" s="14">
        <f>IF(AND(F82&gt;G82,COUNT(H66:H81)=0),B82,"")</f>
        <v/>
      </c>
    </row>
    <row r="83">
      <c r="A83" s="12" t="inlineStr">
        <is>
          <t>Carrot</t>
        </is>
      </c>
      <c r="B83" s="11" t="n">
        <v>17</v>
      </c>
      <c r="C83" s="13">
        <f>Carrot_Base_Hours_Per_Week*Season_Weeks*B83*(1+Carrot_Dim_Pct)^B83</f>
        <v/>
      </c>
      <c r="D83" s="13">
        <f>C83-C82</f>
        <v/>
      </c>
      <c r="E83" s="10">
        <f>MIN(Farmer_Hours_Available,C83)*Farmer_Hourly_Rate+MAX(0,C83-Farmer_Hours_Available)*Temp_Hourly_Rate</f>
        <v/>
      </c>
      <c r="F83" s="10">
        <f>E83-E82</f>
        <v/>
      </c>
      <c r="G83" s="10">
        <f>Carrot_Revenue_Per_Bed-Carrot_Fertilizer_Per_Bed</f>
        <v/>
      </c>
      <c r="H83" s="14">
        <f>IF(AND(F83&gt;G83,COUNT(H66:H82)=0),B83,"")</f>
        <v/>
      </c>
    </row>
    <row r="84">
      <c r="A84" s="12" t="inlineStr">
        <is>
          <t>Carrot</t>
        </is>
      </c>
      <c r="B84" s="11" t="n">
        <v>18</v>
      </c>
      <c r="C84" s="13">
        <f>Carrot_Base_Hours_Per_Week*Season_Weeks*B84*(1+Carrot_Dim_Pct)^B84</f>
        <v/>
      </c>
      <c r="D84" s="13">
        <f>C84-C83</f>
        <v/>
      </c>
      <c r="E84" s="10">
        <f>MIN(Farmer_Hours_Available,C84)*Farmer_Hourly_Rate+MAX(0,C84-Farmer_Hours_Available)*Temp_Hourly_Rate</f>
        <v/>
      </c>
      <c r="F84" s="10">
        <f>E84-E83</f>
        <v/>
      </c>
      <c r="G84" s="10">
        <f>Carrot_Revenue_Per_Bed-Carrot_Fertilizer_Per_Bed</f>
        <v/>
      </c>
      <c r="H84" s="14">
        <f>IF(AND(F84&gt;G84,COUNT(H66:H83)=0),B84,"")</f>
        <v/>
      </c>
    </row>
    <row r="85">
      <c r="A85" s="12" t="inlineStr">
        <is>
          <t>Carrot</t>
        </is>
      </c>
      <c r="B85" s="11" t="n">
        <v>19</v>
      </c>
      <c r="C85" s="13">
        <f>Carrot_Base_Hours_Per_Week*Season_Weeks*B85*(1+Carrot_Dim_Pct)^B85</f>
        <v/>
      </c>
      <c r="D85" s="13">
        <f>C85-C84</f>
        <v/>
      </c>
      <c r="E85" s="10">
        <f>MIN(Farmer_Hours_Available,C85)*Farmer_Hourly_Rate+MAX(0,C85-Farmer_Hours_Available)*Temp_Hourly_Rate</f>
        <v/>
      </c>
      <c r="F85" s="10">
        <f>E85-E84</f>
        <v/>
      </c>
      <c r="G85" s="10">
        <f>Carrot_Revenue_Per_Bed-Carrot_Fertilizer_Per_Bed</f>
        <v/>
      </c>
      <c r="H85" s="14">
        <f>IF(AND(F85&gt;G85,COUNT(H66:H84)=0),B85,"")</f>
        <v/>
      </c>
    </row>
    <row r="86">
      <c r="A86" s="12" t="inlineStr">
        <is>
          <t>Carrot</t>
        </is>
      </c>
      <c r="B86" s="11" t="n">
        <v>20</v>
      </c>
      <c r="C86" s="13">
        <f>Carrot_Base_Hours_Per_Week*Season_Weeks*B86*(1+Carrot_Dim_Pct)^B86</f>
        <v/>
      </c>
      <c r="D86" s="13">
        <f>C86-C85</f>
        <v/>
      </c>
      <c r="E86" s="10">
        <f>MIN(Farmer_Hours_Available,C86)*Farmer_Hourly_Rate+MAX(0,C86-Farmer_Hours_Available)*Temp_Hourly_Rate</f>
        <v/>
      </c>
      <c r="F86" s="10">
        <f>E86-E85</f>
        <v/>
      </c>
      <c r="G86" s="10">
        <f>Carrot_Revenue_Per_Bed-Carrot_Fertilizer_Per_Bed</f>
        <v/>
      </c>
      <c r="H86" s="14">
        <f>IF(AND(F86&gt;G86,COUNT(H66:H85)=0),B86,"")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8" customWidth="1" min="4" max="4"/>
    <col width="34" customWidth="1" min="5" max="5"/>
    <col width="18" customWidth="1" min="6" max="6"/>
    <col width="22" customWidth="1" min="7" max="7"/>
  </cols>
  <sheetData>
    <row r="1">
      <c r="A1" s="1" t="inlineStr">
        <is>
          <t>Allocation and Profit Roll-up</t>
        </is>
      </c>
    </row>
    <row r="2">
      <c r="A2" t="inlineStr">
        <is>
          <t>Decision variables are preloaded to the audited optimum; desktop Excel Solver inputs are listed below.</t>
        </is>
      </c>
    </row>
    <row r="3">
      <c r="A3" s="2" t="inlineStr">
        <is>
          <t>Crop</t>
        </is>
      </c>
      <c r="B3" s="2" t="inlineStr">
        <is>
          <t>Beds</t>
        </is>
      </c>
      <c r="C3" s="2" t="inlineStr">
        <is>
          <t>Labor hours</t>
        </is>
      </c>
      <c r="D3" s="2" t="inlineStr">
        <is>
          <t>Revenue</t>
        </is>
      </c>
      <c r="E3" s="2" t="inlineStr">
        <is>
          <t>Fertilizer</t>
        </is>
      </c>
      <c r="F3" s="2" t="inlineStr">
        <is>
          <t>Allocated labor cost</t>
        </is>
      </c>
      <c r="G3" s="2" t="inlineStr">
        <is>
          <t>Contribution after labor</t>
        </is>
      </c>
    </row>
    <row r="4">
      <c r="A4" s="3" t="inlineStr">
        <is>
          <t>Tomato</t>
        </is>
      </c>
      <c r="B4" s="9" t="n">
        <v>10</v>
      </c>
      <c r="C4" s="13">
        <f>IF(B4=0,0,Tomato_Base_Hours_Per_Week*Season_Weeks*B4*(1+Tomato_Dim_Pct)^B4)</f>
        <v/>
      </c>
      <c r="D4" s="10">
        <f>Tomato_Revenue_Per_Bed*B4</f>
        <v/>
      </c>
      <c r="E4" s="10">
        <f>Tomato_Fertilizer_Per_Bed*B4</f>
        <v/>
      </c>
      <c r="F4" s="10">
        <f>IF($B$12=0,0,C4*$B$16)</f>
        <v/>
      </c>
      <c r="G4" s="10">
        <f>D4-E4-F4</f>
        <v/>
      </c>
    </row>
    <row r="5">
      <c r="A5" s="3" t="inlineStr">
        <is>
          <t>Mesclun</t>
        </is>
      </c>
      <c r="B5" s="9" t="n">
        <v>30</v>
      </c>
      <c r="C5" s="13">
        <f>IF(B5=0,0,Mesclun_Base_Hours_Per_Week*Season_Weeks*B5*(1+Mesclun_Dim_Pct)^B5)</f>
        <v/>
      </c>
      <c r="D5" s="10">
        <f>Mesclun_Revenue_Per_Bed*B5</f>
        <v/>
      </c>
      <c r="E5" s="10">
        <f>Mesclun_Fertilizer_Per_Bed*B5</f>
        <v/>
      </c>
      <c r="F5" s="10">
        <f>IF($B$12=0,0,C5*$B$16)</f>
        <v/>
      </c>
      <c r="G5" s="10">
        <f>D5-E5-F5</f>
        <v/>
      </c>
    </row>
    <row r="6">
      <c r="A6" s="3" t="inlineStr">
        <is>
          <t>Carrot</t>
        </is>
      </c>
      <c r="B6" s="9" t="n">
        <v>20</v>
      </c>
      <c r="C6" s="13">
        <f>IF(B6=0,0,Carrot_Base_Hours_Per_Week*Season_Weeks*B6*(1+Carrot_Dim_Pct)^B6)</f>
        <v/>
      </c>
      <c r="D6" s="10">
        <f>Carrot_Revenue_Per_Bed*B6</f>
        <v/>
      </c>
      <c r="E6" s="10">
        <f>Carrot_Fertilizer_Per_Bed*B6</f>
        <v/>
      </c>
      <c r="F6" s="10">
        <f>IF($B$12=0,0,C6*$B$16)</f>
        <v/>
      </c>
      <c r="G6" s="10">
        <f>D6-E6-F6</f>
        <v/>
      </c>
    </row>
    <row r="7">
      <c r="A7" s="15" t="inlineStr">
        <is>
          <t>Total</t>
        </is>
      </c>
      <c r="B7" s="16">
        <f>SUM(B4:B6)</f>
        <v/>
      </c>
      <c r="C7" s="16">
        <f>SUM(C4:C6)</f>
        <v/>
      </c>
      <c r="D7" s="17">
        <f>SUM(D4:D6)</f>
        <v/>
      </c>
      <c r="E7" s="17">
        <f>SUM(E4:E6)</f>
        <v/>
      </c>
      <c r="F7" s="17">
        <f>SUM(F4:F6)</f>
        <v/>
      </c>
      <c r="G7" s="17">
        <f>SUM(G4:G6)</f>
        <v/>
      </c>
    </row>
    <row r="11">
      <c r="A11" s="5" t="inlineStr">
        <is>
          <t>Total beds</t>
        </is>
      </c>
      <c r="B11" s="13">
        <f>B7</f>
        <v/>
      </c>
      <c r="D11" s="2" t="inlineStr">
        <is>
          <t>Solver setup</t>
        </is>
      </c>
    </row>
    <row r="12">
      <c r="A12" s="5" t="inlineStr">
        <is>
          <t>Total labor hours</t>
        </is>
      </c>
      <c r="B12" s="13">
        <f>C7</f>
        <v/>
      </c>
      <c r="D12" s="5" t="inlineStr">
        <is>
          <t>Objective</t>
        </is>
      </c>
      <c r="E12" s="3" t="inlineStr">
        <is>
          <t>Maximize Profit</t>
        </is>
      </c>
    </row>
    <row r="13">
      <c r="A13" s="5" t="inlineStr">
        <is>
          <t>Farmer hours used</t>
        </is>
      </c>
      <c r="B13" s="13">
        <f>MIN(Farmer_Hours_Available,B12)</f>
        <v/>
      </c>
      <c r="D13" s="5" t="inlineStr">
        <is>
          <t>Changing cells</t>
        </is>
      </c>
      <c r="E13" s="3" t="inlineStr">
        <is>
          <t>Tomato_Beds, Mesclun_Beds, Carrot_Beds</t>
        </is>
      </c>
    </row>
    <row r="14">
      <c r="A14" s="5" t="inlineStr">
        <is>
          <t>Temp hours used</t>
        </is>
      </c>
      <c r="B14" s="13">
        <f>MAX(0,B12-B13)</f>
        <v/>
      </c>
      <c r="D14" s="5" t="inlineStr">
        <is>
          <t>Method</t>
        </is>
      </c>
      <c r="E14" s="3" t="inlineStr">
        <is>
          <t>GRG Nonlinear with integer constraints</t>
        </is>
      </c>
    </row>
    <row r="15">
      <c r="A15" s="5" t="inlineStr">
        <is>
          <t>Total labor dollars</t>
        </is>
      </c>
      <c r="B15" s="10">
        <f>B13*Farmer_Hourly_Rate+B14*Temp_Hourly_Rate</f>
        <v/>
      </c>
      <c r="D15" s="5" t="inlineStr">
        <is>
          <t>Constraints</t>
        </is>
      </c>
      <c r="E15" s="3" t="inlineStr">
        <is>
          <t>Beds within crop caps; total beds ≤ 64; temporary hours ≤ 5,760</t>
        </is>
      </c>
    </row>
    <row r="16">
      <c r="A16" s="5" t="inlineStr">
        <is>
          <t>Blended labor rate ($/hour)</t>
        </is>
      </c>
      <c r="B16" s="18">
        <f>IF(B12=0,0,B15/B12)</f>
        <v/>
      </c>
      <c r="D16" s="5" t="inlineStr">
        <is>
          <t>Audit starts</t>
        </is>
      </c>
      <c r="E16" s="3" t="inlineStr">
        <is>
          <t>Re-run from 0/0/0 and 20/0/0 in desktop Excel</t>
        </is>
      </c>
    </row>
    <row r="17">
      <c r="A17" s="5" t="inlineStr">
        <is>
          <t>Fixed cost</t>
        </is>
      </c>
      <c r="B17" s="10">
        <f>Fixed_Cost</f>
        <v/>
      </c>
    </row>
    <row r="18">
      <c r="A18" s="5" t="inlineStr">
        <is>
          <t>Profit</t>
        </is>
      </c>
      <c r="B18" s="19">
        <f>D7-E7-B15-B17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Validation and Acceptance Checks</t>
        </is>
      </c>
    </row>
    <row r="2">
      <c r="A2" t="inlineStr">
        <is>
          <t>Hand-checks, published references, exact script checks, and feasibility constraints must all pass.</t>
        </is>
      </c>
    </row>
    <row r="4">
      <c r="A4" s="2" t="inlineStr">
        <is>
          <t>Check</t>
        </is>
      </c>
      <c r="B4" s="2" t="inlineStr">
        <is>
          <t>Expected</t>
        </is>
      </c>
      <c r="C4" s="2" t="inlineStr">
        <is>
          <t>Computed</t>
        </is>
      </c>
      <c r="D4" s="2" t="inlineStr">
        <is>
          <t>Status</t>
        </is>
      </c>
    </row>
    <row r="5">
      <c r="A5" s="5" t="inlineStr">
        <is>
          <t>Tomato labor q=1</t>
        </is>
      </c>
      <c r="B5" s="13" t="n">
        <v>99</v>
      </c>
      <c r="C5" s="13">
        <f>SUMIFS(Schedule_Total_Labor,Schedule_Crop,"Tomato",Schedule_Q,1)</f>
        <v/>
      </c>
      <c r="D5" s="20">
        <f>IF(ABS(C5-B5)&lt;0.01,"PASS","FAIL")</f>
        <v/>
      </c>
    </row>
    <row r="6">
      <c r="A6" s="5" t="inlineStr">
        <is>
          <t>Tomato labor q=10</t>
        </is>
      </c>
      <c r="B6" s="13" t="n">
        <v>2334.368214090002</v>
      </c>
      <c r="C6" s="13">
        <f>SUMIFS(Schedule_Total_Labor,Schedule_Crop,"Tomato",Schedule_Q,10)</f>
        <v/>
      </c>
      <c r="D6" s="20">
        <f>IF(ABS(C6-B6)&lt;0.01,"PASS","FAIL")</f>
        <v/>
      </c>
    </row>
    <row r="7">
      <c r="A7" s="5" t="inlineStr">
        <is>
          <t>Tomato labor q=20</t>
        </is>
      </c>
      <c r="B7" s="13" t="n">
        <v>12109.4999087861</v>
      </c>
      <c r="C7" s="13">
        <f>SUMIFS(Schedule_Total_Labor,Schedule_Crop,"Tomato",Schedule_Q,20)</f>
        <v/>
      </c>
      <c r="D7" s="20">
        <f>IF(ABS(C7-B7)&lt;0.01,"PASS","FAIL")</f>
        <v/>
      </c>
    </row>
    <row r="8">
      <c r="A8" s="5" t="inlineStr">
        <is>
          <t>Optimal tomato beds</t>
        </is>
      </c>
      <c r="B8" s="11" t="n">
        <v>10</v>
      </c>
      <c r="C8" s="11">
        <f>Tomato_Beds</f>
        <v/>
      </c>
      <c r="D8" s="20">
        <f>IF(C8=B8,"PASS","FAIL")</f>
        <v/>
      </c>
    </row>
    <row r="9">
      <c r="A9" s="5" t="inlineStr">
        <is>
          <t>Optimal mesclun beds</t>
        </is>
      </c>
      <c r="B9" s="11" t="n">
        <v>30</v>
      </c>
      <c r="C9" s="11">
        <f>Mesclun_Beds</f>
        <v/>
      </c>
      <c r="D9" s="20">
        <f>IF(C9=B9,"PASS","FAIL")</f>
        <v/>
      </c>
    </row>
    <row r="10">
      <c r="A10" s="5" t="inlineStr">
        <is>
          <t>Optimal carrot beds</t>
        </is>
      </c>
      <c r="B10" s="11" t="n">
        <v>20</v>
      </c>
      <c r="C10" s="11">
        <f>Carrot_Beds</f>
        <v/>
      </c>
      <c r="D10" s="20">
        <f>IF(C10=B10,"PASS","FAIL")</f>
        <v/>
      </c>
    </row>
    <row r="11">
      <c r="A11" s="5" t="inlineStr">
        <is>
          <t>Exact script profit</t>
        </is>
      </c>
      <c r="B11" s="10" t="n">
        <v>42761.66</v>
      </c>
      <c r="C11" s="10">
        <f>Profit</f>
        <v/>
      </c>
      <c r="D11" s="20">
        <f>IF(ABS(C11-B11)&lt;0.01,"PASS","FAIL")</f>
        <v/>
      </c>
    </row>
    <row r="12">
      <c r="A12" s="5" t="inlineStr">
        <is>
          <t>Published profit reference</t>
        </is>
      </c>
      <c r="B12" s="10" t="n">
        <v>42762</v>
      </c>
      <c r="C12" s="10">
        <f>Profit</f>
        <v/>
      </c>
      <c r="D12" s="20">
        <f>IF(ABS(C12-B12)&lt;=0.5,"PASS","FAIL")</f>
        <v/>
      </c>
    </row>
    <row r="13">
      <c r="A13" s="5" t="inlineStr">
        <is>
          <t>Tomato standalone crossing</t>
        </is>
      </c>
      <c r="B13" s="11" t="n">
        <v>10</v>
      </c>
      <c r="C13" s="11">
        <f>Tomato_First_Standalone_Crossing-1</f>
        <v/>
      </c>
      <c r="D13" s="20">
        <f>IF(C13=B13,"PASS","FAIL")</f>
        <v/>
      </c>
    </row>
    <row r="14">
      <c r="A14" s="5" t="inlineStr">
        <is>
          <t>Mesclun standalone crossing</t>
        </is>
      </c>
      <c r="B14" s="11" t="n">
        <v>6</v>
      </c>
      <c r="C14" s="11">
        <f>Mesclun_First_Standalone_Crossing-1</f>
        <v/>
      </c>
      <c r="D14" s="20">
        <f>IF(C14=B14,"PASS","FAIL")</f>
        <v/>
      </c>
    </row>
    <row r="15">
      <c r="A15" s="5" t="inlineStr">
        <is>
          <t>Carrot standalone crossing</t>
        </is>
      </c>
      <c r="B15" s="11" t="n">
        <v>10</v>
      </c>
      <c r="C15" s="11">
        <f>Carrot_First_Standalone_Crossing-1</f>
        <v/>
      </c>
      <c r="D15" s="20">
        <f>IF(C15=B15,"PASS","FAIL")</f>
        <v/>
      </c>
    </row>
    <row r="16">
      <c r="A16" s="5" t="inlineStr">
        <is>
          <t>Total beds cap</t>
        </is>
      </c>
      <c r="B16" s="11" t="n">
        <v>64</v>
      </c>
      <c r="C16" s="11">
        <f>Total_Beds</f>
        <v/>
      </c>
      <c r="D16" s="20">
        <f>IF(C16&lt;=B16,"PASS","FAIL")</f>
        <v/>
      </c>
    </row>
    <row r="17">
      <c r="A17" s="5" t="inlineStr">
        <is>
          <t>Temp hours cap</t>
        </is>
      </c>
      <c r="B17" s="13" t="n">
        <v>5760</v>
      </c>
      <c r="C17" s="13">
        <f>Temp_Hours_Used</f>
        <v/>
      </c>
      <c r="D17" s="20">
        <f>IF(C17&lt;=B17,"PASS","FAIL")</f>
        <v/>
      </c>
    </row>
    <row r="18">
      <c r="A18" s="5" t="inlineStr">
        <is>
          <t>Farmer hours nonnegative</t>
        </is>
      </c>
      <c r="B18" s="13" t="n">
        <v>0</v>
      </c>
      <c r="C18" s="13">
        <f>Farmer_Hours_Used</f>
        <v/>
      </c>
      <c r="D18" s="20">
        <f>IF(C18&gt;=B18,"PASS","FAIL")</f>
        <v/>
      </c>
    </row>
  </sheetData>
  <conditionalFormatting sqref="D5:D18">
    <cfRule type="expression" priority="1" dxfId="0">
      <formula>EXACT($D5,"PASS")</formula>
    </cfRule>
    <cfRule type="expression" priority="2" dxfId="1">
      <formula>EXACT($D5,"FAIL")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4" max="4"/>
    <col width="12" customWidth="1" min="5" max="5"/>
  </cols>
  <sheetData>
    <row r="1">
      <c r="A1" s="1" t="inlineStr">
        <is>
          <t>Audited Summary</t>
        </is>
      </c>
    </row>
    <row r="2">
      <c r="A2" t="inlineStr">
        <is>
          <t>The workbook ships at the audited optimum so a reviewer sees the accepted answer on open.</t>
        </is>
      </c>
    </row>
    <row r="4">
      <c r="A4" s="5" t="inlineStr">
        <is>
          <t>Tomato beds</t>
        </is>
      </c>
      <c r="B4" s="11">
        <f>Tomato_Beds</f>
        <v/>
      </c>
      <c r="D4" s="2" t="inlineStr">
        <is>
          <t>Standalone P≈MC reference beds</t>
        </is>
      </c>
    </row>
    <row r="5">
      <c r="A5" s="5" t="inlineStr">
        <is>
          <t>Mesclun beds</t>
        </is>
      </c>
      <c r="B5" s="11">
        <f>Mesclun_Beds</f>
        <v/>
      </c>
      <c r="D5" s="14" t="inlineStr">
        <is>
          <t>Tomato</t>
        </is>
      </c>
      <c r="E5" s="11">
        <f>Tomato_First_Standalone_Crossing-1</f>
        <v/>
      </c>
    </row>
    <row r="6">
      <c r="A6" s="5" t="inlineStr">
        <is>
          <t>Carrot beds</t>
        </is>
      </c>
      <c r="B6" s="11">
        <f>Carrot_Beds</f>
        <v/>
      </c>
      <c r="D6" s="14" t="inlineStr">
        <is>
          <t>Mesclun</t>
        </is>
      </c>
      <c r="E6" s="11">
        <f>Mesclun_First_Standalone_Crossing-1</f>
        <v/>
      </c>
    </row>
    <row r="7">
      <c r="A7" s="5" t="inlineStr">
        <is>
          <t>Total beds</t>
        </is>
      </c>
      <c r="B7" s="11">
        <f>Total_Beds</f>
        <v/>
      </c>
      <c r="D7" s="14" t="inlineStr">
        <is>
          <t>Carrot</t>
        </is>
      </c>
      <c r="E7" s="11">
        <f>Carrot_First_Standalone_Crossing-1</f>
        <v/>
      </c>
    </row>
    <row r="8">
      <c r="A8" s="5" t="inlineStr">
        <is>
          <t>Total labor hours</t>
        </is>
      </c>
      <c r="B8" s="13">
        <f>Total_Labor_Hours</f>
        <v/>
      </c>
    </row>
    <row r="9">
      <c r="A9" s="5" t="inlineStr">
        <is>
          <t>Farmer hours used</t>
        </is>
      </c>
      <c r="B9" s="13">
        <f>Farmer_Hours_Used</f>
        <v/>
      </c>
      <c r="D9" s="2" t="inlineStr">
        <is>
          <t>Stage 3 note</t>
        </is>
      </c>
    </row>
    <row r="10">
      <c r="A10" s="5" t="inlineStr">
        <is>
          <t>Temp hours used</t>
        </is>
      </c>
      <c r="B10" s="13">
        <f>Temp_Hours_Used</f>
        <v/>
      </c>
      <c r="D10" s="5" t="inlineStr">
        <is>
          <t>Tomato standalone marginal cost dips around q = 6 before rising again.</t>
        </is>
      </c>
    </row>
    <row r="11">
      <c r="A11" s="5" t="inlineStr">
        <is>
          <t>Revenue</t>
        </is>
      </c>
      <c r="B11" s="10">
        <f>Allocation!D7</f>
        <v/>
      </c>
      <c r="D11" s="5" t="inlineStr">
        <is>
          <t>Recorded here only; interpretation belongs to Stage 3.</t>
        </is>
      </c>
    </row>
    <row r="12">
      <c r="A12" s="5" t="inlineStr">
        <is>
          <t>Fertilizer</t>
        </is>
      </c>
      <c r="B12" s="10">
        <f>Allocation!E7</f>
        <v/>
      </c>
    </row>
    <row r="13">
      <c r="A13" s="5" t="inlineStr">
        <is>
          <t>Total labor dollars</t>
        </is>
      </c>
      <c r="B13" s="10">
        <f>Total_Labor_Dollars</f>
        <v/>
      </c>
    </row>
    <row r="14">
      <c r="A14" s="5" t="inlineStr">
        <is>
          <t>Blended labor rate ($/hour)</t>
        </is>
      </c>
      <c r="B14" s="18">
        <f>Blended_Labor_Rate</f>
        <v/>
      </c>
    </row>
    <row r="15">
      <c r="A15" s="5" t="inlineStr">
        <is>
          <t>Fixed cost</t>
        </is>
      </c>
      <c r="B15" s="10">
        <f>Fixed_Cost</f>
        <v/>
      </c>
    </row>
    <row r="16">
      <c r="A16" s="5" t="inlineStr">
        <is>
          <t>Profit</t>
        </is>
      </c>
      <c r="B16" s="10">
        <f>Profit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2026-09-11T05:03:26Z</dcterms:created>
  <dcterms:modified xmlns:dcterms="http://purl.org/dc/terms/" xmlns:xsi="http://www.w3.org/2001/XMLSchema-instance" xsi:type="dcterms:W3CDTF">2026-09-13T22:30:44Z</dcterms:modified>
</cp:coreProperties>
</file>